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FDF5C8B741392171/Documents/"/>
    </mc:Choice>
  </mc:AlternateContent>
  <xr:revisionPtr revIDLastSave="0" documentId="8_{68DAF564-32FC-424D-AC2F-DFE89B65B7BB}" xr6:coauthVersionLast="47" xr6:coauthVersionMax="47" xr10:uidLastSave="{00000000-0000-0000-0000-000000000000}"/>
  <bookViews>
    <workbookView minimized="1" xWindow="3465" yWindow="3465" windowWidth="21600" windowHeight="11295" xr2:uid="{2A0C77CC-148D-4763-B7EB-603FF045E8D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 l="1" a="1"/>
  <c r="D9" i="1" a="1"/>
  <c r="F9" i="1" a="1"/>
  <c r="G9" i="1" a="1"/>
  <c r="H9" i="1" a="1"/>
  <c r="I9" i="1" a="1"/>
  <c r="J9" i="1" a="1"/>
  <c r="K9" i="1" a="1"/>
  <c r="L9" i="1" a="1"/>
  <c r="M9" i="1" a="1"/>
  <c r="N9" i="1" a="1"/>
  <c r="O9" i="1" a="1"/>
  <c r="P9" i="1" a="1"/>
  <c r="M7" i="1" a="1"/>
  <c r="P4" i="1" a="1"/>
  <c r="P7" i="1" a="1"/>
  <c r="P5" i="1" a="1"/>
  <c r="P6" i="1" a="1"/>
  <c r="P3" i="1" a="1"/>
  <c r="P8" i="1" a="1"/>
  <c r="P10" i="1" a="1"/>
  <c r="O4" i="1" a="1"/>
  <c r="O7" i="1" a="1"/>
  <c r="O5" i="1" a="1"/>
  <c r="O6" i="1" a="1"/>
  <c r="O3" i="1" a="1"/>
  <c r="O8" i="1" a="1"/>
  <c r="O10" i="1" a="1"/>
  <c r="N4" i="1" a="1"/>
  <c r="N7" i="1" a="1"/>
  <c r="N5" i="1" a="1"/>
  <c r="N6" i="1" a="1"/>
  <c r="N3" i="1" a="1"/>
  <c r="N8" i="1" a="1"/>
  <c r="N10" i="1" a="1"/>
  <c r="B10" i="1" a="1"/>
  <c r="D10" i="1" a="1"/>
  <c r="F10" i="1" a="1"/>
  <c r="G10" i="1" a="1"/>
  <c r="H10" i="1" a="1"/>
  <c r="I10" i="1" a="1"/>
  <c r="J10" i="1" a="1"/>
  <c r="K10" i="1" a="1"/>
  <c r="L10" i="1" a="1"/>
  <c r="M10" i="1" a="1"/>
  <c r="B8" i="1" a="1"/>
  <c r="D8" i="1" a="1"/>
  <c r="F8" i="1" a="1"/>
  <c r="G8" i="1" a="1"/>
  <c r="H8" i="1" a="1"/>
  <c r="I8" i="1" a="1"/>
  <c r="J8" i="1" a="1"/>
  <c r="K8" i="1" a="1"/>
  <c r="L8" i="1" a="1"/>
  <c r="M8" i="1" a="1"/>
  <c r="B3" i="1" a="1"/>
  <c r="D3" i="1" a="1"/>
  <c r="F3" i="1" a="1"/>
  <c r="G3" i="1" a="1"/>
  <c r="H3" i="1" a="1"/>
  <c r="I3" i="1" a="1"/>
  <c r="J3" i="1" a="1"/>
  <c r="K3" i="1" a="1"/>
  <c r="L3" i="1" a="1"/>
  <c r="M3" i="1" a="1"/>
  <c r="B5" i="1" a="1"/>
  <c r="B6" i="1" a="1"/>
  <c r="D5" i="1" a="1"/>
  <c r="F5" i="1" a="1"/>
  <c r="G5" i="1" a="1"/>
  <c r="H5" i="1" a="1"/>
  <c r="I5" i="1" a="1"/>
  <c r="J5" i="1" a="1"/>
  <c r="K5" i="1" a="1"/>
  <c r="L5" i="1" a="1"/>
  <c r="M5" i="1" a="1"/>
  <c r="D6" i="1" a="1"/>
  <c r="F6" i="1" a="1"/>
  <c r="G6" i="1" a="1"/>
  <c r="H6" i="1" a="1"/>
  <c r="I6" i="1" a="1"/>
  <c r="J6" i="1" a="1"/>
  <c r="K6" i="1" a="1"/>
  <c r="L6" i="1" a="1"/>
  <c r="M6" i="1" a="1"/>
  <c r="D7" i="1" a="1"/>
  <c r="B4" i="1" a="1"/>
  <c r="M4" i="1" a="1"/>
  <c r="D4" i="1" a="1"/>
  <c r="F4" i="1" a="1"/>
  <c r="G4" i="1" a="1"/>
  <c r="H4" i="1" a="1"/>
  <c r="I4" i="1" a="1"/>
  <c r="J4" i="1" a="1"/>
  <c r="K4" i="1" a="1"/>
  <c r="L4" i="1" a="1"/>
  <c r="B7" i="1" a="1"/>
  <c r="F7" i="1" a="1"/>
  <c r="G7" i="1" a="1"/>
  <c r="H7" i="1" a="1"/>
  <c r="I7" i="1" a="1"/>
  <c r="J7" i="1" a="1"/>
  <c r="K7" i="1" a="1"/>
  <c r="L7" i="1" a="1"/>
  <c r="P10" i="1" l="1"/>
  <c r="O10" i="1"/>
  <c r="N10" i="1"/>
  <c r="M10" i="1"/>
  <c r="L10" i="1"/>
  <c r="K10" i="1"/>
  <c r="J10" i="1"/>
  <c r="I10" i="1"/>
  <c r="H10" i="1"/>
  <c r="G10" i="1"/>
  <c r="F10" i="1"/>
  <c r="D10" i="1"/>
  <c r="B10" i="1"/>
  <c r="BD10" i="1" s="1" a="1"/>
  <c r="BD10" i="1" s="1"/>
  <c r="P9" i="1"/>
  <c r="O9" i="1"/>
  <c r="N9" i="1"/>
  <c r="M9" i="1"/>
  <c r="L9" i="1"/>
  <c r="K9" i="1"/>
  <c r="J9" i="1"/>
  <c r="I9" i="1"/>
  <c r="H9" i="1"/>
  <c r="G9" i="1"/>
  <c r="F9" i="1"/>
  <c r="D9" i="1"/>
  <c r="B9" i="1"/>
  <c r="BD9" i="1" s="1" a="1"/>
  <c r="BD9" i="1" s="1"/>
  <c r="P8" i="1"/>
  <c r="O8" i="1"/>
  <c r="N8" i="1"/>
  <c r="M8" i="1"/>
  <c r="L8" i="1"/>
  <c r="K8" i="1"/>
  <c r="J8" i="1"/>
  <c r="I8" i="1"/>
  <c r="H8" i="1"/>
  <c r="G8" i="1"/>
  <c r="F8" i="1"/>
  <c r="D8" i="1"/>
  <c r="B8" i="1"/>
  <c r="BD8" i="1" s="1" a="1"/>
  <c r="BD8" i="1" s="1"/>
  <c r="P7" i="1"/>
  <c r="O7" i="1"/>
  <c r="N7" i="1"/>
  <c r="M7" i="1"/>
  <c r="L7" i="1"/>
  <c r="K7" i="1"/>
  <c r="J7" i="1"/>
  <c r="I7" i="1"/>
  <c r="H7" i="1"/>
  <c r="G7" i="1"/>
  <c r="F7" i="1"/>
  <c r="D7" i="1"/>
  <c r="B7" i="1"/>
  <c r="BD7" i="1" s="1" a="1"/>
  <c r="BD7" i="1" s="1"/>
  <c r="P6" i="1"/>
  <c r="O6" i="1"/>
  <c r="N6" i="1"/>
  <c r="M6" i="1"/>
  <c r="L6" i="1"/>
  <c r="K6" i="1"/>
  <c r="J6" i="1"/>
  <c r="I6" i="1"/>
  <c r="H6" i="1"/>
  <c r="G6" i="1"/>
  <c r="F6" i="1"/>
  <c r="D6" i="1"/>
  <c r="B6" i="1"/>
  <c r="BD6" i="1" s="1" a="1"/>
  <c r="BD6" i="1" s="1"/>
  <c r="P5" i="1"/>
  <c r="O5" i="1"/>
  <c r="N5" i="1"/>
  <c r="M5" i="1"/>
  <c r="L5" i="1"/>
  <c r="K5" i="1"/>
  <c r="J5" i="1"/>
  <c r="I5" i="1"/>
  <c r="H5" i="1"/>
  <c r="G5" i="1"/>
  <c r="F5" i="1"/>
  <c r="D5" i="1"/>
  <c r="B5" i="1"/>
  <c r="BD5" i="1" s="1" a="1"/>
  <c r="BD5" i="1" s="1"/>
  <c r="P4" i="1"/>
  <c r="O4" i="1"/>
  <c r="N4" i="1"/>
  <c r="M4" i="1"/>
  <c r="L4" i="1"/>
  <c r="K4" i="1"/>
  <c r="J4" i="1"/>
  <c r="I4" i="1"/>
  <c r="H4" i="1"/>
  <c r="G4" i="1"/>
  <c r="F4" i="1"/>
  <c r="D4" i="1"/>
  <c r="B4" i="1"/>
  <c r="BD4" i="1" s="1" a="1"/>
  <c r="BD4" i="1" s="1"/>
  <c r="P3" i="1"/>
  <c r="O3" i="1"/>
  <c r="N3" i="1"/>
  <c r="M3" i="1"/>
  <c r="L3" i="1"/>
  <c r="K3" i="1"/>
  <c r="J3" i="1"/>
  <c r="I3" i="1"/>
  <c r="H3" i="1"/>
  <c r="G3" i="1"/>
  <c r="F3" i="1"/>
  <c r="D3" i="1"/>
  <c r="B3" i="1"/>
  <c r="BD3" i="1" s="1" a="1"/>
  <c r="BD3" i="1" s="1"/>
  <c r="L14" i="1" l="1"/>
  <c r="E14" i="1"/>
  <c r="G14" i="1"/>
  <c r="F14" i="1"/>
  <c r="H14" i="1"/>
  <c r="I14" i="1"/>
  <c r="J14" i="1"/>
  <c r="K14"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
    <bk>
      <extLst>
        <ext uri="{3e2802c4-a4d2-4d8b-9148-e3be6c30e623}">
          <xlrd:rvb i="2"/>
        </ext>
      </extLst>
    </bk>
    <bk>
      <extLst>
        <ext uri="{3e2802c4-a4d2-4d8b-9148-e3be6c30e623}">
          <xlrd:rvb i="3"/>
        </ext>
      </extLst>
    </bk>
    <bk>
      <extLst>
        <ext uri="{3e2802c4-a4d2-4d8b-9148-e3be6c30e623}">
          <xlrd:rvb i="10"/>
        </ext>
      </extLst>
    </bk>
    <bk>
      <extLst>
        <ext uri="{3e2802c4-a4d2-4d8b-9148-e3be6c30e623}">
          <xlrd:rvb i="13"/>
        </ext>
      </extLst>
    </bk>
    <bk>
      <extLst>
        <ext uri="{3e2802c4-a4d2-4d8b-9148-e3be6c30e623}">
          <xlrd:rvb i="16"/>
        </ext>
      </extLst>
    </bk>
    <bk>
      <extLst>
        <ext uri="{3e2802c4-a4d2-4d8b-9148-e3be6c30e623}">
          <xlrd:rvb i="19"/>
        </ext>
      </extLst>
    </bk>
    <bk>
      <extLst>
        <ext uri="{3e2802c4-a4d2-4d8b-9148-e3be6c30e623}">
          <xlrd:rvb i="22"/>
        </ext>
      </extLst>
    </bk>
    <bk>
      <extLst>
        <ext uri="{3e2802c4-a4d2-4d8b-9148-e3be6c30e623}">
          <xlrd:rvb i="25"/>
        </ext>
      </extLst>
    </bk>
    <bk>
      <extLst>
        <ext uri="{3e2802c4-a4d2-4d8b-9148-e3be6c30e623}">
          <xlrd:rvb i="28"/>
        </ext>
      </extLst>
    </bk>
  </futureMetadata>
  <cellMetadata count="1">
    <bk>
      <rc t="1" v="0"/>
    </bk>
  </cellMetadata>
  <valueMetadata count="9">
    <bk>
      <rc t="2" v="0"/>
    </bk>
    <bk>
      <rc t="2" v="1"/>
    </bk>
    <bk>
      <rc t="2" v="2"/>
    </bk>
    <bk>
      <rc t="2" v="3"/>
    </bk>
    <bk>
      <rc t="2" v="4"/>
    </bk>
    <bk>
      <rc t="2" v="5"/>
    </bk>
    <bk>
      <rc t="2" v="6"/>
    </bk>
    <bk>
      <rc t="2" v="7"/>
    </bk>
    <bk>
      <rc t="2" v="8"/>
    </bk>
  </valueMetadata>
</metadata>
</file>

<file path=xl/sharedStrings.xml><?xml version="1.0" encoding="utf-8"?>
<sst xmlns="http://schemas.openxmlformats.org/spreadsheetml/2006/main" count="39" uniqueCount="29">
  <si>
    <t>Ticker symbol</t>
  </si>
  <si>
    <t>Name</t>
  </si>
  <si>
    <t>Price</t>
  </si>
  <si>
    <t>Chart (6m)</t>
  </si>
  <si>
    <t>Change (%)</t>
  </si>
  <si>
    <t>Change ($)</t>
  </si>
  <si>
    <t>P/E</t>
  </si>
  <si>
    <t>Market cap</t>
  </si>
  <si>
    <t>Volume</t>
  </si>
  <si>
    <t>Beta</t>
  </si>
  <si>
    <t>Employees</t>
  </si>
  <si>
    <t>Industry</t>
  </si>
  <si>
    <t>High</t>
  </si>
  <si>
    <t>Low</t>
  </si>
  <si>
    <t>Shares outstanding</t>
  </si>
  <si>
    <t>S</t>
  </si>
  <si>
    <t>T</t>
  </si>
  <si>
    <t>O</t>
  </si>
  <si>
    <t>C</t>
  </si>
  <si>
    <t>K</t>
  </si>
  <si>
    <t>D</t>
  </si>
  <si>
    <t>A</t>
  </si>
  <si>
    <t>M</t>
  </si>
  <si>
    <t>N</t>
  </si>
  <si>
    <t>H</t>
  </si>
  <si>
    <t>Ticker</t>
  </si>
  <si>
    <t>(Change $)</t>
  </si>
  <si>
    <t>Market Cap</t>
  </si>
  <si>
    <t>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</si>
</sst>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0%;\-0.00%;\-"/>
    <numFmt numFmtId="165" formatCode="\+&quot;$&quot;0.00;\-&quot;$&quot;0.00;&quot;$&quot;0.00"/>
    <numFmt numFmtId="166" formatCode="[&gt;=1000000000000]#&quot;$&quot;0.00,,,,&quot;T&quot;;[&gt;=1000000000]&quot;$&quot;#0.00,,,&quot;B&quot;;#0.00"/>
    <numFmt numFmtId="167" formatCode="&quot;$&quot;#,##0.00"/>
  </numFmts>
  <fonts count="8">
    <font>
      <sz val="11"/>
      <color theme="1"/>
      <name val="Aptos Narrow"/>
      <family val="2"/>
      <scheme val="minor"/>
    </font>
    <font>
      <b/>
      <sz val="9"/>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u/>
      <sz val="11"/>
      <color theme="1"/>
      <name val="Aptos Narrow"/>
      <family val="2"/>
      <scheme val="minor"/>
    </font>
    <font>
      <sz val="11"/>
      <color rgb="FF00B050"/>
      <name val="Aptos Narrow"/>
      <family val="2"/>
      <scheme val="minor"/>
    </font>
    <font>
      <sz val="9"/>
      <color rgb="FF000000"/>
      <name val="Aptos Narrow"/>
      <scheme val="minor"/>
    </font>
  </fonts>
  <fills count="5">
    <fill>
      <patternFill patternType="none"/>
    </fill>
    <fill>
      <patternFill patternType="gray125"/>
    </fill>
    <fill>
      <patternFill patternType="solid">
        <fgColor rgb="FFFFFF99"/>
        <bgColor indexed="64"/>
      </patternFill>
    </fill>
    <fill>
      <patternFill patternType="solid">
        <fgColor theme="1" tint="4.9989318521683403E-2"/>
        <bgColor indexed="64"/>
      </patternFill>
    </fill>
    <fill>
      <patternFill patternType="solid">
        <fgColor theme="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47">
    <xf numFmtId="0" fontId="0" fillId="0" borderId="0" xfId="0"/>
    <xf numFmtId="0" fontId="0" fillId="0" borderId="0" xfId="0" applyAlignment="1">
      <alignment horizontal="center" vertical="center"/>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166" fontId="0" fillId="0" borderId="1" xfId="0" applyNumberFormat="1" applyBorder="1" applyAlignment="1">
      <alignment horizontal="center" vertical="center"/>
    </xf>
    <xf numFmtId="3" fontId="0" fillId="0" borderId="1" xfId="0" applyNumberFormat="1" applyBorder="1" applyAlignment="1">
      <alignment horizontal="center" vertical="center"/>
    </xf>
    <xf numFmtId="0" fontId="0" fillId="0" borderId="3"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8" xfId="0" applyBorder="1" applyAlignment="1">
      <alignment horizontal="center" vertical="center"/>
    </xf>
    <xf numFmtId="0" fontId="1" fillId="0" borderId="1" xfId="0" applyFont="1" applyBorder="1" applyAlignment="1">
      <alignment horizontal="center" vertical="center"/>
    </xf>
    <xf numFmtId="167" fontId="0" fillId="0" borderId="1" xfId="0" applyNumberFormat="1" applyBorder="1" applyAlignment="1">
      <alignment horizontal="center" vertical="center"/>
    </xf>
    <xf numFmtId="0" fontId="0" fillId="0" borderId="10" xfId="0" applyBorder="1" applyAlignment="1">
      <alignment horizontal="center" vertical="center"/>
    </xf>
    <xf numFmtId="0" fontId="3" fillId="2" borderId="7" xfId="0" applyFont="1"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167" fontId="0" fillId="0" borderId="4" xfId="1" applyNumberFormat="1" applyFont="1" applyBorder="1" applyAlignment="1">
      <alignment horizontal="center" vertical="center"/>
    </xf>
    <xf numFmtId="10" fontId="2" fillId="0" borderId="10" xfId="2" applyNumberFormat="1" applyFont="1" applyBorder="1" applyAlignment="1">
      <alignment horizontal="center" vertical="center"/>
    </xf>
    <xf numFmtId="167" fontId="2" fillId="0" borderId="10" xfId="1" applyNumberFormat="1" applyFont="1" applyBorder="1" applyAlignment="1">
      <alignment horizontal="center" vertical="center"/>
    </xf>
    <xf numFmtId="2" fontId="0" fillId="0" borderId="10" xfId="0" applyNumberFormat="1" applyBorder="1" applyAlignment="1">
      <alignment horizontal="center" vertical="center"/>
    </xf>
    <xf numFmtId="166" fontId="0" fillId="0" borderId="10" xfId="0" applyNumberFormat="1" applyBorder="1" applyAlignment="1">
      <alignment horizontal="center" vertical="center"/>
    </xf>
    <xf numFmtId="37" fontId="0" fillId="0" borderId="10" xfId="0" applyNumberFormat="1" applyBorder="1" applyAlignment="1">
      <alignment horizontal="center" vertical="center"/>
    </xf>
    <xf numFmtId="37" fontId="0" fillId="0" borderId="2" xfId="0" applyNumberFormat="1" applyBorder="1" applyAlignment="1">
      <alignment horizontal="center" vertical="center"/>
    </xf>
    <xf numFmtId="0" fontId="0" fillId="3" borderId="1" xfId="0" applyFill="1" applyBorder="1" applyAlignment="1">
      <alignment horizontal="center" vertical="center"/>
    </xf>
    <xf numFmtId="0" fontId="5" fillId="0" borderId="0" xfId="0" applyFont="1" applyAlignment="1">
      <alignment horizontal="center" vertical="center"/>
    </xf>
    <xf numFmtId="0" fontId="0" fillId="0" borderId="12" xfId="0" applyBorder="1" applyAlignment="1">
      <alignment horizontal="center" vertical="center"/>
    </xf>
    <xf numFmtId="167" fontId="0" fillId="0" borderId="12" xfId="0" applyNumberFormat="1" applyBorder="1" applyAlignment="1">
      <alignment horizontal="center" vertical="center"/>
    </xf>
    <xf numFmtId="164" fontId="0" fillId="0" borderId="12" xfId="0" applyNumberFormat="1" applyBorder="1" applyAlignment="1">
      <alignment horizontal="center" vertical="center"/>
    </xf>
    <xf numFmtId="165" fontId="0" fillId="0" borderId="12" xfId="0" applyNumberFormat="1" applyBorder="1" applyAlignment="1">
      <alignment horizontal="center" vertical="center"/>
    </xf>
    <xf numFmtId="4" fontId="0" fillId="0" borderId="12" xfId="0" applyNumberFormat="1" applyBorder="1" applyAlignment="1">
      <alignment horizontal="center" vertical="center"/>
    </xf>
    <xf numFmtId="166" fontId="0" fillId="0" borderId="12" xfId="0" applyNumberFormat="1" applyBorder="1" applyAlignment="1">
      <alignment horizontal="center" vertical="center"/>
    </xf>
    <xf numFmtId="3" fontId="0" fillId="0" borderId="12" xfId="0" applyNumberFormat="1" applyBorder="1" applyAlignment="1">
      <alignment horizontal="center" vertical="center"/>
    </xf>
    <xf numFmtId="0" fontId="1" fillId="0" borderId="12" xfId="0" applyFont="1" applyBorder="1" applyAlignment="1">
      <alignment horizontal="center" vertical="center"/>
    </xf>
    <xf numFmtId="2" fontId="6" fillId="4" borderId="6" xfId="0" applyNumberFormat="1" applyFont="1" applyFill="1" applyBorder="1" applyAlignment="1">
      <alignment horizontal="center" vertical="center" textRotation="255"/>
    </xf>
    <xf numFmtId="2" fontId="6" fillId="4" borderId="7" xfId="0" applyNumberFormat="1" applyFont="1" applyFill="1" applyBorder="1" applyAlignment="1">
      <alignment horizontal="center" vertical="center" textRotation="255"/>
    </xf>
    <xf numFmtId="2" fontId="6" fillId="4" borderId="5" xfId="0" applyNumberFormat="1" applyFont="1" applyFill="1" applyBorder="1" applyAlignment="1">
      <alignment horizontal="center" vertical="center" textRotation="255"/>
    </xf>
    <xf numFmtId="2" fontId="6" fillId="4" borderId="8" xfId="0" applyNumberFormat="1" applyFont="1" applyFill="1" applyBorder="1" applyAlignment="1">
      <alignment horizontal="center" vertical="center" textRotation="255"/>
    </xf>
    <xf numFmtId="0" fontId="6" fillId="4" borderId="0" xfId="0" applyFont="1" applyFill="1" applyAlignment="1">
      <alignment horizontal="center" vertical="center" textRotation="255"/>
    </xf>
    <xf numFmtId="0" fontId="6" fillId="4" borderId="9" xfId="0" applyFont="1" applyFill="1" applyBorder="1" applyAlignment="1">
      <alignment horizontal="center" vertical="center" textRotation="255"/>
    </xf>
    <xf numFmtId="2" fontId="6" fillId="4" borderId="4" xfId="0" applyNumberFormat="1" applyFont="1" applyFill="1" applyBorder="1" applyAlignment="1">
      <alignment horizontal="center" vertical="center" textRotation="255"/>
    </xf>
    <xf numFmtId="0" fontId="6" fillId="4" borderId="10" xfId="0" applyFont="1" applyFill="1" applyBorder="1" applyAlignment="1">
      <alignment textRotation="255"/>
    </xf>
    <xf numFmtId="0" fontId="6" fillId="4" borderId="2" xfId="0" applyFont="1" applyFill="1" applyBorder="1" applyAlignment="1">
      <alignment textRotation="255"/>
    </xf>
    <xf numFmtId="0" fontId="0" fillId="3" borderId="12" xfId="0" applyFill="1" applyBorder="1" applyAlignment="1">
      <alignment horizontal="center" vertical="center"/>
    </xf>
    <xf numFmtId="0" fontId="7" fillId="0" borderId="0" xfId="0" applyFont="1" applyAlignment="1">
      <alignment horizontal="center" vertical="center"/>
    </xf>
  </cellXfs>
  <cellStyles count="3">
    <cellStyle name="Currency" xfId="1" builtinId="4"/>
    <cellStyle name="Normal" xfId="0" builtinId="0"/>
    <cellStyle name="Percent" xfId="2" builtinId="5"/>
  </cellStyles>
  <dxfs count="37">
    <dxf>
      <font>
        <b val="0"/>
      </font>
      <numFmt numFmtId="5" formatCode="#,##0_);\(#,##0\)"/>
      <alignment horizontal="center" vertical="center" textRotation="0" wrapText="0" indent="0" justifyLastLine="0" shrinkToFit="0" readingOrder="0"/>
      <border diagonalUp="0" diagonalDown="0">
        <left/>
        <right style="thin">
          <color indexed="64"/>
        </right>
        <top/>
        <bottom/>
        <vertical/>
        <horizontal/>
      </border>
    </dxf>
    <dxf>
      <font>
        <b val="0"/>
      </font>
      <numFmt numFmtId="2" formatCode="0.00"/>
      <alignment horizontal="center" vertical="center" textRotation="0" wrapText="0" indent="0" justifyLastLine="0" shrinkToFit="0" readingOrder="0"/>
    </dxf>
    <dxf>
      <font>
        <b val="0"/>
      </font>
      <numFmt numFmtId="5" formatCode="#,##0_);\(#,##0\)"/>
      <alignment horizontal="center" vertical="center" textRotation="0" wrapText="0" indent="0" justifyLastLine="0" shrinkToFit="0" readingOrder="0"/>
    </dxf>
    <dxf>
      <font>
        <b val="0"/>
      </font>
      <numFmt numFmtId="166" formatCode="[&gt;=1000000000000]#&quot;$&quot;0.00,,,,&quot;T&quot;;[&gt;=1000000000]&quot;$&quot;#0.00,,,&quot;B&quot;;#0.00"/>
      <alignment horizontal="center" vertical="center" textRotation="0" wrapText="0" indent="0" justifyLastLine="0" shrinkToFit="0" readingOrder="0"/>
    </dxf>
    <dxf>
      <font>
        <b val="0"/>
      </font>
      <numFmt numFmtId="2" formatCode="0.00"/>
      <alignment horizontal="center" vertical="center" textRotation="0" wrapText="0" indent="0" justifyLastLine="0" shrinkToFit="0" readingOrder="0"/>
    </dxf>
    <dxf>
      <font>
        <b val="0"/>
      </font>
      <numFmt numFmtId="167" formatCode="&quot;$&quot;#,##0.00"/>
      <alignment horizontal="center" vertical="center" textRotation="0" wrapText="0" indent="0" justifyLastLine="0" shrinkToFit="0" readingOrder="0"/>
    </dxf>
    <dxf>
      <font>
        <b val="0"/>
      </font>
      <numFmt numFmtId="14" formatCode="0.00%"/>
      <alignment horizontal="center" vertical="center" textRotation="0" wrapText="0" indent="0" justifyLastLine="0" shrinkToFit="0" readingOrder="0"/>
    </dxf>
    <dxf>
      <font>
        <b val="0"/>
      </font>
      <numFmt numFmtId="167" formatCode="&quot;$&quot;#,##0.00"/>
      <alignment horizontal="center" vertical="center" textRotation="0" wrapText="0" indent="0" justifyLastLine="0" shrinkToFit="0" readingOrder="0"/>
      <border diagonalUp="0" diagonalDown="0">
        <left style="thin">
          <color indexed="64"/>
        </left>
        <right/>
        <top/>
        <bottom/>
        <vertical/>
        <horizontal/>
      </border>
    </dxf>
    <dxf>
      <font>
        <b/>
        <strike val="0"/>
        <outline val="0"/>
        <shadow val="0"/>
        <u val="none"/>
        <vertAlign val="baseline"/>
        <sz val="11"/>
        <color theme="1"/>
        <name val="Aptos Narrow"/>
        <family val="2"/>
        <scheme val="minor"/>
      </font>
      <fill>
        <patternFill patternType="solid">
          <fgColor indexed="64"/>
          <bgColor rgb="FFFFFF99"/>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font>
      <alignment horizontal="center" vertical="center" textRotation="0" wrapText="0" indent="0" justifyLastLine="0" shrinkToFit="0" readingOrder="0"/>
    </dxf>
    <dxf>
      <font>
        <b val="0"/>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outline val="0"/>
        <shadow val="0"/>
        <u val="none"/>
        <vertAlign val="baseline"/>
        <sz val="9"/>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gt;=1000000000000]#&quot;$&quot;0.00,,,,&quot;T&quot;;[&gt;=1000000000]&quot;$&quot;#0.00,,,&quot;B&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quot;$&quot;0.00;\-&quot;$&quot;0.00;&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0%;\-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1"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rgb="FFFF7C80"/>
        </patternFill>
      </fill>
    </dxf>
    <dxf>
      <fill>
        <patternFill>
          <bgColor rgb="FFFFFF66"/>
        </patternFill>
      </fill>
    </dxf>
    <dxf>
      <fill>
        <patternFill>
          <bgColor rgb="FF66FF66"/>
        </patternFill>
      </fill>
    </dxf>
  </dxfs>
  <tableStyles count="0" defaultTableStyle="TableStyleMedium2" defaultPivotStyle="PivotStyleLight16"/>
  <colors>
    <mruColors>
      <color rgb="FFFFFF99"/>
      <color rgb="FFFFFF66"/>
      <color rgb="FF66FF66"/>
      <color rgb="FFEE8E8E"/>
      <color rgb="FF88EC94"/>
      <color rgb="FFFF7C80"/>
      <color rgb="FFFF57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9">
  <rv s="0">
    <v>https://www.bing.com/financeapi/forcetrigger?t=a1q6k2&amp;q=XNAS%3aCOST&amp;form=skydnc</v>
    <v>Learn more on Bing</v>
  </rv>
  <rv s="1">
    <v>en-US</v>
    <v>a1q6k2</v>
    <v>268435456</v>
    <v>1</v>
    <v>Powered by Refinitiv</v>
    <v>0</v>
    <v>COSTCO WHOLESALE CORPORATION (XNAS:COST)</v>
    <v>2</v>
    <v>3</v>
    <v>Finance</v>
    <v>4</v>
    <v>1096.5</v>
    <v>844.06</v>
    <v>0.87749999999999995</v>
    <v>4.5999999999999996</v>
    <v>2.9510000000000002E-4</v>
    <v>5.0529999999999993E-3</v>
    <v>0.27</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341000</v>
    <v>Nasdaq Stock Market</v>
    <v>XNAS</v>
    <v>XNAS</v>
    <v>999 Lake Dr, ISSAQUAH, WA, 98027- US</v>
    <v>923.5</v>
    <v>Diversified Retail</v>
    <v>Stock</v>
    <v>46296.99777778906</v>
    <v>0</v>
    <v>903.77499999999998</v>
    <v>405561794040</v>
    <v>COSTCO WHOLESALE CORPORATION</v>
    <v>COSTCO WHOLESALE CORPORATION</v>
    <v>910.87</v>
    <v>43.8521</v>
    <v>910.34</v>
    <v>914.94</v>
    <v>915.21</v>
    <v>443266000</v>
    <v>COST</v>
    <v>COSTCO WHOLESALE CORPORATION (XNAS:COST)</v>
    <v>2126408</v>
    <v>2281927</v>
    <v>1987</v>
  </rv>
  <rv s="2">
    <v>1</v>
  </rv>
  <rv s="3">
    <v>10</v>
    <v>9</v>
  </rv>
  <rv s="0">
    <v>http://en.wikipedia.org/wiki/Public_domain</v>
    <v>Public domain</v>
  </rv>
  <rv s="0">
    <v>https://en.wikipedia.org/wiki/Microsoft</v>
    <v>Wikipedia</v>
  </rv>
  <rv s="4">
    <v>4</v>
    <v>5</v>
  </rv>
  <rv s="5">
    <v>9</v>
    <v>https://www.bing.com/th?id=AMMS_e6e837c7bf3a77408619758b7447855a&amp;qlt=95</v>
    <v>6</v>
    <v>0</v>
    <v>https://www.bing.com/images/search?form=xlimg&amp;q=microsoft</v>
    <v>Image of MICROSOFT CORPORATION</v>
  </rv>
  <rv s="0">
    <v>https://www.bing.com/financeapi/forcetrigger?t=a1xzim&amp;q=XNAS%3aMSFT&amp;form=skydnc</v>
    <v>Learn more on Bing</v>
  </rv>
  <rv s="6">
    <v>en-US</v>
    <v>a1xzim</v>
    <v>268435456</v>
    <v>1</v>
    <v>Powered by Refinitiv</v>
    <v>5</v>
    <v>MICROSOFT CORPORATION (XNAS:MSFT)</v>
    <v>7</v>
    <v>8</v>
    <v>Finance</v>
    <v>4</v>
    <v>553.72</v>
    <v>349.2</v>
    <v>1.0992</v>
    <v>-0.1</v>
    <v>4.875E-3</v>
    <v>-1.95E-4</v>
    <v>2.5</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223000</v>
    <v>Nasdaq Stock Market</v>
    <v>XNAS</v>
    <v>XNAS</v>
    <v>One Microsoft Way, REDMOND, WA, 98052 US</v>
    <v>522.85</v>
    <v>7</v>
    <v>Software &amp; IT Services</v>
    <v>Stock</v>
    <v>46296.999912314066</v>
    <v>8</v>
    <v>512.16999999999996</v>
    <v>3807819475999</v>
    <v>MICROSOFT CORPORATION</v>
    <v>MICROSOFT CORPORATION</v>
    <v>519.88</v>
    <v>28.573499999999999</v>
    <v>512.9</v>
    <v>512.79999999999995</v>
    <v>515.29999999999995</v>
    <v>7425545000</v>
    <v>MSFT</v>
    <v>MICROSOFT CORPORATION (XNAS:MSFT)</v>
    <v>19731882</v>
    <v>22157018</v>
    <v>1993</v>
  </rv>
  <rv s="2">
    <v>9</v>
  </rv>
  <rv s="0">
    <v>https://www.bing.com/financeapi/forcetrigger?t=a1u3rw&amp;q=XNAS%3aGOOGL&amp;form=skydnc</v>
    <v>Learn more on Bing</v>
  </rv>
  <rv s="1">
    <v>en-US</v>
    <v>a1u3rw</v>
    <v>268435456</v>
    <v>1</v>
    <v>Powered by Refinitiv</v>
    <v>0</v>
    <v>ALPHABET INC. (XNAS:GOOGL)</v>
    <v>2</v>
    <v>3</v>
    <v>Finance</v>
    <v>4</v>
    <v>408.61</v>
    <v>235.84</v>
    <v>1.2114</v>
    <v>-5.84</v>
    <v>2.8379999999999998E-3</v>
    <v>-1.6973000000000002E-2</v>
    <v>0.96</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198933</v>
    <v>Nasdaq Stock Market</v>
    <v>XNAS</v>
    <v>XNAS</v>
    <v>1600 Amphitheatre Parkway, MOUNTAIN VIEW, CA, 94043 US</v>
    <v>353.22</v>
    <v>Software &amp; IT Services</v>
    <v>Stock</v>
    <v>46296.999971388279</v>
    <v>11</v>
    <v>335.51080000000002</v>
    <v>4136675200000</v>
    <v>ALPHABET INC.</v>
    <v>ALPHABET INC.</v>
    <v>350.78500000000003</v>
    <v>16.971399999999999</v>
    <v>344.08</v>
    <v>338.24</v>
    <v>339.2</v>
    <v>12230000000</v>
    <v>GOOGL</v>
    <v>ALPHABET INC. (XNAS:GOOGL)</v>
    <v>33269338</v>
    <v>26387887</v>
    <v>2015</v>
  </rv>
  <rv s="2">
    <v>12</v>
  </rv>
  <rv s="0">
    <v>https://www.bing.com/financeapi/forcetrigger?t=a256cw&amp;q=XNYS%3aV&amp;form=skydnc</v>
    <v>Learn more on Bing</v>
  </rv>
  <rv s="1">
    <v>en-US</v>
    <v>a256cw</v>
    <v>268435456</v>
    <v>1</v>
    <v>Powered by Refinitiv</v>
    <v>0</v>
    <v>VISA INC. (XNYS:V)</v>
    <v>2</v>
    <v>3</v>
    <v>Finance</v>
    <v>4</v>
    <v>385.56990000000002</v>
    <v>293.89</v>
    <v>0.77039999999999997</v>
    <v>0.52</v>
    <v>3.8910000000000003E-4</v>
    <v>1.4469999999999999E-3</v>
    <v>0.14000000000000001</v>
    <v>USD</v>
    <v>Visa Inc. is a global payments technology company. It facilitates global commerce and money movement across more than 200 countries and territories among a global set of consumers, merchants, financial institutions and government entities through technologies. It operates through the Payment Services segment. It provides transaction processing services (primarily authorization, clearing and settlement) to its financial institution and merchant clients through VisaNet, its proprietary advanced transaction processing network. It offers a range of Visa-branded payment products that its clients, including nearly 14,500 financial institutions, use to develop and offer payment solutions or services, including credit, debit, prepaid and cash access programs for individual, business and government account holders. It also provides value-added services to its clients, including issuing solutions, acceptance solutions, risk and identity solutions, open banking solutions and advisory services.</v>
    <v>34100</v>
    <v>New York Stock Exchange</v>
    <v>XNYS</v>
    <v>XNYS</v>
    <v>P.O. Box 8999, SAN FRANCISCO, CA, 94128-8999 US</v>
    <v>363.23899999999998</v>
    <v>Professional &amp; Commercial Services</v>
    <v>Stock</v>
    <v>46296.999392267971</v>
    <v>14</v>
    <v>357.35500000000002</v>
    <v>671856862950</v>
    <v>VISA INC.</v>
    <v>VISA INC.</v>
    <v>358.35</v>
    <v>30.598700000000001</v>
    <v>359.33</v>
    <v>359.85</v>
    <v>359.99</v>
    <v>1867047000</v>
    <v>V</v>
    <v>VISA INC. (XNYS:V)</v>
    <v>5273106</v>
    <v>6111554</v>
    <v>2007</v>
  </rv>
  <rv s="2">
    <v>15</v>
  </rv>
  <rv s="0">
    <v>https://www.bing.com/financeapi/forcetrigger?t=a1mou2&amp;q=XNAS%3aAAPL&amp;form=skydnc</v>
    <v>Learn more on Bing</v>
  </rv>
  <rv s="1">
    <v>en-US</v>
    <v>a1mou2</v>
    <v>268435456</v>
    <v>1</v>
    <v>Powered by Refinitiv</v>
    <v>0</v>
    <v>APPLE INC. (XNAS:AAPL)</v>
    <v>2</v>
    <v>3</v>
    <v>Finance</v>
    <v>4</v>
    <v>345.34</v>
    <v>243.42</v>
    <v>1.069</v>
    <v>-2.7</v>
    <v>1.3619999999999999E-3</v>
    <v>-8.1079999999999989E-3</v>
    <v>0.44990000000000002</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332.48160000000001</v>
    <v>Computers, Phones &amp; Household Electronics</v>
    <v>Stock</v>
    <v>46296.999978911721</v>
    <v>17</v>
    <v>325.81</v>
    <v>4820749537600</v>
    <v>APPLE INC.</v>
    <v>APPLE INC.</v>
    <v>330</v>
    <v>38.008899999999997</v>
    <v>333.02</v>
    <v>330.32</v>
    <v>330.76990000000001</v>
    <v>14594180000</v>
    <v>AAPL</v>
    <v>APPLE INC. (XNAS:AAPL)</v>
    <v>36306346</v>
    <v>41825512</v>
    <v>1977</v>
  </rv>
  <rv s="2">
    <v>18</v>
  </rv>
  <rv s="0">
    <v>https://www.bing.com/financeapi/forcetrigger?t=a1w8ec&amp;q=XNYS%3aJNJ&amp;form=skydnc</v>
    <v>Learn more on Bing</v>
  </rv>
  <rv s="1">
    <v>en-US</v>
    <v>a1w8ec</v>
    <v>268435456</v>
    <v>1</v>
    <v>Powered by Refinitiv</v>
    <v>0</v>
    <v>JOHNSON &amp; JOHNSON (XNYS:JNJ)</v>
    <v>2</v>
    <v>3</v>
    <v>Finance</v>
    <v>4</v>
    <v>281.07</v>
    <v>182.94</v>
    <v>0.20599999999999999</v>
    <v>-6.08</v>
    <v>3.2479999999999996E-3</v>
    <v>-2.2966E-2</v>
    <v>0.84</v>
    <v>USD</v>
    <v>Johnson &amp; Johnson and its subsidiaries are engaged in the research and development, manufacture, and sale of a range of products in the healthcare field. Its segments include Innovative Medicine and MedTech. The Innovative Medicine segment focuses on various therapeutic areas, oncology, immunology, neuroscience, pulmonary hypertension, infectious diseases and cardiovascular and metabolism. Its products include CARVYKTI (ciltacabtagene autoleucel), DARZALEX (daratumumab), DARZALEX FASPRO (daratumumab and hyaluronidase-fihj), ERLEADA (apalutamide), among others. The MedTech segment develops and manufactures a broad portfolio of products used in cardiovascular, orthopedics, surgery, and vision supporting physicians, hospitals, eye care professionals and healthcare systems across a range of acute and elective procedures. The Cardiovascular portfolio includes electrophysiology products. It is also focused on proprietary Firelink degrader antibody conjugate platform.</v>
    <v>138200</v>
    <v>New York Stock Exchange</v>
    <v>XNYS</v>
    <v>XNYS</v>
    <v>One Johnson &amp; Johnson Plaza, NEW BRUNSWICK, NJ, 08933 US</v>
    <v>263.97500000000002</v>
    <v>Pharmaceuticals</v>
    <v>Stock</v>
    <v>46296.99966726797</v>
    <v>20</v>
    <v>258.33</v>
    <v>623344475340</v>
    <v>JOHNSON &amp; JOHNSON</v>
    <v>JOHNSON &amp; JOHNSON</v>
    <v>263.68</v>
    <v>29.9923</v>
    <v>264.74</v>
    <v>258.66000000000003</v>
    <v>259.5</v>
    <v>2409899000</v>
    <v>JNJ</v>
    <v>JOHNSON &amp; JOHNSON (XNYS:JNJ)</v>
    <v>8292415</v>
    <v>6421847</v>
    <v>1887</v>
  </rv>
  <rv s="2">
    <v>21</v>
  </rv>
  <rv s="0">
    <v>https://www.bing.com/financeapi/forcetrigger?t=a1yv52&amp;q=XNAS%3aNVDA&amp;form=skydnc</v>
    <v>Learn more on Bing</v>
  </rv>
  <rv s="1">
    <v>en-US</v>
    <v>a1yv52</v>
    <v>268435456</v>
    <v>1</v>
    <v>Powered by Refinitiv</v>
    <v>0</v>
    <v>NVIDIA CORPORATION (XNAS:NVDA)</v>
    <v>2</v>
    <v>3</v>
    <v>Finance</v>
    <v>4</v>
    <v>236.54</v>
    <v>164.27</v>
    <v>2.2162000000000002</v>
    <v>2.48</v>
    <v>2.7329999999999998E-3</v>
    <v>1.0859000000000001E-2</v>
    <v>0.63090000000000002</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232.285</v>
    <v>Semiconductors &amp; Semiconductor Equipment</v>
    <v>Stock</v>
    <v>46296.999957638283</v>
    <v>23</v>
    <v>228.16</v>
    <v>5563726000000</v>
    <v>NVIDIA CORPORATION</v>
    <v>NVIDIA CORPORATION</v>
    <v>229.97499999999999</v>
    <v>29.183299999999999</v>
    <v>228.38</v>
    <v>230.86</v>
    <v>231.49090000000001</v>
    <v>24100000000</v>
    <v>NVDA</v>
    <v>NVIDIA CORPORATION (XNAS:NVDA)</v>
    <v>98591411</v>
    <v>126629251</v>
    <v>1998</v>
  </rv>
  <rv s="2">
    <v>24</v>
  </rv>
  <rv s="0">
    <v>https://www.bing.com/financeapi/forcetrigger?t=a269ec&amp;q=XNYS%3aXOM&amp;form=skydnc</v>
    <v>Learn more on Bing</v>
  </rv>
  <rv s="1">
    <v>en-US</v>
    <v>a269ec</v>
    <v>268435456</v>
    <v>1</v>
    <v>Powered by Refinitiv</v>
    <v>0</v>
    <v>EXXONMOBIL HOLDINGS CORPORATION (XNYS:XOM)</v>
    <v>2</v>
    <v>3</v>
    <v>Finance</v>
    <v>4</v>
    <v>176.41</v>
    <v>110.38500000000001</v>
    <v>0.2089</v>
    <v>1.07</v>
    <v>-1.2210000000000001E-4</v>
    <v>6.5750000000000001E-3</v>
    <v>-0.02</v>
    <v>USD</v>
    <v>ExxonMobil Holdings Corporation is a holding company whose direct, wholly owned subsidiary and principal operating company is Exxon Mobil Corporation. Its principal business involves exploration and production of crude oil and natural gas; manufacture, trade, transport and sale of crude oil, natural gas, petroleum products, petrochemicals, and a wide variety of specialty products; and pursuit of lower-emission and other new business opportunities, including carbon capture and storage, hydrogen and ammonia, lower-emission fuels, Proxxima resin systems, carbon materials, low-carbon data centers, and lithium. Affiliates of the Company conduct research programs in support of these businesses. It operates or markets its products in the United States and most other countries of the world. Its Upstream businesses include unconventional, conventional, deepwater, heavy oil and liquefied natural gas. It also manufactures and distributes products derived from crude oil and other feedstocks.</v>
    <v>58000</v>
    <v>New York Stock Exchange</v>
    <v>XNYS</v>
    <v>XNYS</v>
    <v>22777 SPRINGWOODS VILLAGE PKWY, SPRING, TX, 77389-1425 US</v>
    <v>164.07499999999999</v>
    <v>Oil &amp; Gas</v>
    <v>Stock</v>
    <v>46296.999662152346</v>
    <v>26</v>
    <v>160.80529999999999</v>
    <v>673613423840</v>
    <v>EXXONMOBIL HOLDINGS CORPORATION</v>
    <v>EXXONMOBIL HOLDINGS CORPORATION</v>
    <v>161.5</v>
    <v>21.126100000000001</v>
    <v>162.75</v>
    <v>163.82</v>
    <v>163.80000000000001</v>
    <v>4111912000</v>
    <v>XOM</v>
    <v>EXXONMOBIL HOLDINGS CORPORATION (XNYS:XOM)</v>
    <v>11708604</v>
    <v>14187550</v>
    <v>2026</v>
  </rv>
  <rv s="2">
    <v>27</v>
  </rv>
</rvData>
</file>

<file path=xl/richData/rdrichvaluestructure.xml><?xml version="1.0" encoding="utf-8"?>
<rvStructures xmlns="http://schemas.microsoft.com/office/spreadsheetml/2017/richdata" count="7">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error">
    <k n="errorType" t="i"/>
    <k n="subType" t="i"/>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0">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 s="0">
      <v>1</v>
      <v>Name</v>
      <v>LearnMoreOnLink</v>
    </spb>
    <spb s="5">
      <v>0</v>
      <v>0</v>
    </spb>
    <spb s="6">
      <v>6</v>
      <v>1</v>
      <v>1</v>
      <v>1</v>
      <v>1</v>
    </spb>
    <spb s="7">
      <v>1</v>
      <v>2</v>
      <v>2</v>
      <v>1</v>
      <v>3</v>
      <v>1</v>
      <v>10</v>
      <v>1</v>
      <v>1</v>
      <v>4</v>
      <v>4</v>
      <v>5</v>
      <v>6</v>
      <v>1</v>
      <v>1</v>
      <v>1</v>
      <v>4</v>
      <v>7</v>
      <v>8</v>
      <v>9</v>
      <v>4</v>
      <v>1</v>
      <v>1</v>
      <v>5</v>
    </spb>
    <spb s="8">
      <v>Powered by Refinitiv</v>
    </spb>
  </spbData>
</supportingPropertyBags>
</file>

<file path=xl/richData/rdsupportingpropertybagstructure.xml><?xml version="1.0" encoding="utf-8"?>
<spbStructures xmlns="http://schemas.microsoft.com/office/spreadsheetml/2017/richdata2" count="9">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EDA213-A75B-4B70-A4B6-44D945696733}" name="Table1" displayName="Table1" ref="B2:P10" totalsRowShown="0" headerRowDxfId="33" dataDxfId="32" headerRowBorderDxfId="30" tableBorderDxfId="31" totalsRowBorderDxfId="29">
  <autoFilter ref="B2:P10" xr:uid="{E3EDA213-A75B-4B70-A4B6-44D945696733}"/>
  <sortState xmlns:xlrd2="http://schemas.microsoft.com/office/spreadsheetml/2017/richdata2" ref="B3:P10">
    <sortCondition descending="1" ref="D2:D10"/>
  </sortState>
  <tableColumns count="15">
    <tableColumn id="8" xr3:uid="{2D656632-B8FA-440D-82A8-56E65324B7B4}" name="Ticker symbol" dataDxfId="28">
      <calculatedColumnFormula array="1">_FV(Table1[[#This Row],[Name]],"Ticker symbol",TRUE)</calculatedColumnFormula>
    </tableColumn>
    <tableColumn id="1" xr3:uid="{EDBF21C5-0283-4A5C-B6D7-C91DF86ACB99}" name="Name" dataDxfId="27"/>
    <tableColumn id="3" xr3:uid="{BC4C941B-11A3-4D9A-948E-B89BEA2E37C4}" name="Price" dataDxfId="26">
      <calculatedColumnFormula array="1">_FV(Table1[[#This Row],[Name]],"Price")</calculatedColumnFormula>
    </tableColumn>
    <tableColumn id="2" xr3:uid="{6D78601F-FE00-477A-8ED5-0E262094B264}" name="Chart (6m)" dataDxfId="25"/>
    <tableColumn id="4" xr3:uid="{1E795BBB-04D9-4751-BF15-387D3E7A1C39}" name="Change (%)" dataDxfId="24">
      <calculatedColumnFormula array="1">_FV(Table1[[#This Row],[Name]],"Change (%)",TRUE)</calculatedColumnFormula>
    </tableColumn>
    <tableColumn id="5" xr3:uid="{8D0FE707-FD57-4140-A7B4-CAE1BC70BCA0}" name="Change ($)" dataDxfId="23">
      <calculatedColumnFormula array="1">_FV(Table1[[#This Row],[Name]],"Change")</calculatedColumnFormula>
    </tableColumn>
    <tableColumn id="6" xr3:uid="{CC8E8805-3209-455A-880A-754694EBCD48}" name="P/E" dataDxfId="22">
      <calculatedColumnFormula array="1">_FV(Table1[[#This Row],[Name]],"P/E",TRUE)</calculatedColumnFormula>
    </tableColumn>
    <tableColumn id="7" xr3:uid="{1999ACAE-8ABA-4384-9E67-895D4F333C18}" name="Market cap" dataDxfId="21">
      <calculatedColumnFormula array="1">_FV(Table1[[#This Row],[Name]],"Market cap",TRUE)</calculatedColumnFormula>
    </tableColumn>
    <tableColumn id="9" xr3:uid="{F82FF514-6172-446C-9407-777951AA3B8A}" name="Volume" dataDxfId="20">
      <calculatedColumnFormula array="1">_FV(Table1[[#This Row],[Name]],"Volume")</calculatedColumnFormula>
    </tableColumn>
    <tableColumn id="11" xr3:uid="{42484093-9A70-4A21-AE13-30737DB55D37}" name="Beta" dataDxfId="19">
      <calculatedColumnFormula array="1">_FV(Table1[[#This Row],[Name]],"Beta")</calculatedColumnFormula>
    </tableColumn>
    <tableColumn id="12" xr3:uid="{BEC4CDC5-B379-4EF3-9496-F64E7C920654}" name="Employees" dataDxfId="18">
      <calculatedColumnFormula array="1">_FV(Table1[[#This Row],[Name]],"Employees")</calculatedColumnFormula>
    </tableColumn>
    <tableColumn id="10" xr3:uid="{DCA17052-F3A5-47D7-AA87-B2488BB5157D}" name="Industry" dataDxfId="17">
      <calculatedColumnFormula array="1">_FV(Table1[[#This Row],[Name]],"Industry")</calculatedColumnFormula>
    </tableColumn>
    <tableColumn id="13" xr3:uid="{D951EF4D-9EAA-45AC-ADB7-9B11AB7E273B}" name="High" dataDxfId="16">
      <calculatedColumnFormula array="1">_FV(Table1[[#This Row],[Name]],"High")</calculatedColumnFormula>
    </tableColumn>
    <tableColumn id="14" xr3:uid="{910877B0-51F9-44D7-9725-306C3283B1FB}" name="Low" dataDxfId="15">
      <calculatedColumnFormula array="1">_FV(Table1[[#This Row],[Name]],"Low")</calculatedColumnFormula>
    </tableColumn>
    <tableColumn id="15" xr3:uid="{F1607E4C-5BE2-4AFA-A53B-4E56F37FE44F}" name="Shares outstanding" dataDxfId="14">
      <calculatedColumnFormula array="1">_FV(Table1[[#This Row],[Name]],"Shares outstanding",TRUE)</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C326F8-383C-40FF-A1F7-F70A3886400C}" name="Table3" displayName="Table3" ref="D13:L14" totalsRowShown="0" headerRowDxfId="13" dataDxfId="12" headerRowBorderDxfId="10" tableBorderDxfId="11" totalsRowBorderDxfId="9">
  <tableColumns count="9">
    <tableColumn id="1" xr3:uid="{2AB9BA78-7A8A-4E13-9CA0-ACC9EA429E14}" name="Ticker" dataDxfId="8"/>
    <tableColumn id="2" xr3:uid="{13A238B4-ECB1-4D7A-86AD-5411EB7BD9E9}" name="Price" dataDxfId="7" dataCellStyle="Currency">
      <calculatedColumnFormula>VLOOKUP($D$14,Table1[[Ticker symbol]:[Employees]],3,FALSE)</calculatedColumnFormula>
    </tableColumn>
    <tableColumn id="3" xr3:uid="{F6F7AE02-D279-48EC-B5FC-5F68EB18F4EE}" name="Change (%)" dataDxfId="6" dataCellStyle="Percent">
      <calculatedColumnFormula>VLOOKUP(D14,Table1[[Ticker symbol]:[Employees]],5,FALSE)</calculatedColumnFormula>
    </tableColumn>
    <tableColumn id="4" xr3:uid="{15A95B1C-96BE-4C3E-9785-624B30BF4E42}" name="(Change $)" dataDxfId="5" dataCellStyle="Currency">
      <calculatedColumnFormula>VLOOKUP(D14,Table1[[Ticker symbol]:[Employees]],6,FALSE)</calculatedColumnFormula>
    </tableColumn>
    <tableColumn id="5" xr3:uid="{7371B3DA-70B3-4D58-940D-06085A1BBB2C}" name="P/E" dataDxfId="4">
      <calculatedColumnFormula>VLOOKUP($D$14,Table1[[Ticker symbol]:[Employees]],7,FALSE)</calculatedColumnFormula>
    </tableColumn>
    <tableColumn id="6" xr3:uid="{CA50DE23-05E0-4160-8E40-70306C5BB568}" name="Market Cap" dataDxfId="3">
      <calculatedColumnFormula>VLOOKUP($D$14,Table1[[Ticker symbol]:[Employees]],8,FALSE)</calculatedColumnFormula>
    </tableColumn>
    <tableColumn id="7" xr3:uid="{0417823D-095B-47A6-8635-3939099B39EF}" name="Volume" dataDxfId="2">
      <calculatedColumnFormula>VLOOKUP($D$14,Table1[[Ticker symbol]:[Employees]],9,FALSE)</calculatedColumnFormula>
    </tableColumn>
    <tableColumn id="8" xr3:uid="{1A6379D4-CDFE-48D6-B545-F34D93A249C5}" name="Beta" dataDxfId="1">
      <calculatedColumnFormula>VLOOKUP($D$14,Table1[[Ticker symbol]:[Employees]],10,FALSE)</calculatedColumnFormula>
    </tableColumn>
    <tableColumn id="9" xr3:uid="{01A51FD1-0997-4277-A608-B7720ABA57B7}" name="Employees" dataDxfId="0">
      <calculatedColumnFormula>VLOOKUP($D$14,Table1[[Ticker symbol]:[Employees]],11,FALSE)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 dockstate="right" visibility="0" width="438"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730505B-979F-403A-A1ED-F0A6822B3C2E}">
  <we:reference id="wa104379220" version="8.0.0.0" store="en-US" storeType="OMEX"/>
  <we:alternateReferences>
    <we:reference id="wa104379220" version="8.0.0.0" store="wa104379220" storeType="OMEX"/>
  </we:alternateReferences>
  <we:properties>
    <we:property name="stocksChange" value="{}"/>
    <we:property name="stocks" value="{&quot;NVDA&quot;:[&quot;NVDA&quot;,175.81,0.008084862385321134,1775073599666]}"/>
    <we:property name="stocksOrder" value="[&quot;NVDA&quot;]"/>
    <we:property name="updateIntervalIndex" value="2"/>
    <we:property name="stocksSources" value="{&quot;NVDA&quot;:0}"/>
    <we:property name="lastCryptoCompare" value="0"/>
    <we:property name="lastIexCall" value="1775073913792"/>
    <we:property name="lastMutualFundsCall" value="0"/>
  </we:properties>
  <we:bindings>
    <we:binding id="NVDA" type="text" appref="{FFBD15DC-40AD-4C31-8DAC-7F8A21FC49F8}"/>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88BF71C0-5916-4B4E-B6EA-2058C33F40D5}">
  <we:reference id="wa200002252" version="1.0.0.3" store="en-US" storeType="OMEX"/>
  <we:alternateReferences>
    <we:reference id="wa200002252" version="1.0.0.3" store="wa200002252"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_xldudf_WISE</we:customFunctionIds>
        <we:customFunctionIds>_xldudf_WISEPRICE</we:customFunctionIds>
        <we:customFunctionIds>_xldudf_WISEFUNDS</we:customFunctionIds>
        <we:customFunctionIds>_xldudf_WISEOPTIONS</we:customFunctionIds>
      </we:customFunctionIdList>
    </a:ext>
    <a:ext xmlns:a="http://schemas.openxmlformats.org/drawingml/2006/main" uri="{0858819E-0033-43BF-8937-05EC82904868}">
      <we:backgroundApp state="1" runtimeId="Taskpane.Url"/>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525F0-4F07-4FA1-BA26-C75554CC2A99}">
  <dimension ref="B1:CD25"/>
  <sheetViews>
    <sheetView showGridLines="0" tabSelected="1" zoomScale="85" zoomScaleNormal="85" workbookViewId="0">
      <selection activeCell="D12" sqref="D12"/>
      <extLst>
        <ext xmlns:xlsdti="http://schemas.microsoft.com/office/spreadsheetml/2023/showDataTypeIcons" uri="{77bfe23e-c014-4d31-8a63-9c772dbf06b6}">
          <xlsdti:showDataTypeIcons visible="0"/>
        </ext>
      </extLst>
    </sheetView>
  </sheetViews>
  <sheetFormatPr defaultRowHeight="15"/>
  <cols>
    <col min="1" max="1" width="2.7109375" customWidth="1"/>
    <col min="2" max="2" width="18.140625" bestFit="1" customWidth="1"/>
    <col min="3" max="3" width="47.5703125" customWidth="1"/>
    <col min="4" max="12" width="15.7109375" customWidth="1"/>
    <col min="13" max="13" width="33.28515625" bestFit="1" customWidth="1"/>
    <col min="14" max="15" width="10.28515625" customWidth="1"/>
    <col min="16" max="16" width="21.28515625" bestFit="1" customWidth="1"/>
    <col min="17" max="41" width="7.140625" customWidth="1"/>
    <col min="42" max="42" width="7.140625" bestFit="1" customWidth="1"/>
    <col min="56" max="82" width="2.7109375" customWidth="1"/>
  </cols>
  <sheetData>
    <row r="1" spans="2:82">
      <c r="O1" s="1"/>
      <c r="P1" s="1"/>
      <c r="Q1" s="1"/>
      <c r="R1" s="1"/>
      <c r="S1" s="1"/>
      <c r="T1" s="1"/>
      <c r="U1" s="1"/>
      <c r="V1" s="1"/>
      <c r="W1" s="1"/>
      <c r="X1" s="1"/>
      <c r="Y1" s="1"/>
      <c r="Z1" s="1"/>
      <c r="AA1" s="1"/>
      <c r="AB1" s="1"/>
      <c r="AC1" s="1"/>
      <c r="AD1" s="1"/>
      <c r="AE1" s="1"/>
      <c r="AF1" s="1"/>
      <c r="AG1" s="1"/>
      <c r="AH1" s="1"/>
      <c r="AI1" s="1"/>
      <c r="AJ1" s="1"/>
      <c r="AK1" s="1"/>
      <c r="AL1" s="1"/>
      <c r="AM1" s="1"/>
      <c r="AN1" s="1"/>
      <c r="AO1" s="1"/>
    </row>
    <row r="2" spans="2:82" ht="19.899999999999999" customHeight="1">
      <c r="B2" s="9" t="s">
        <v>0</v>
      </c>
      <c r="C2" s="10" t="s">
        <v>1</v>
      </c>
      <c r="D2" s="10" t="s">
        <v>2</v>
      </c>
      <c r="E2" s="10" t="s">
        <v>3</v>
      </c>
      <c r="F2" s="10" t="s">
        <v>4</v>
      </c>
      <c r="G2" s="10" t="s">
        <v>5</v>
      </c>
      <c r="H2" s="10" t="s">
        <v>6</v>
      </c>
      <c r="I2" s="10" t="s">
        <v>7</v>
      </c>
      <c r="J2" s="10" t="s">
        <v>8</v>
      </c>
      <c r="K2" s="10" t="s">
        <v>9</v>
      </c>
      <c r="L2" s="11" t="s">
        <v>10</v>
      </c>
      <c r="M2" s="10" t="s">
        <v>11</v>
      </c>
      <c r="N2" s="8" t="s">
        <v>12</v>
      </c>
      <c r="O2" s="8" t="s">
        <v>13</v>
      </c>
      <c r="P2" s="8" t="s">
        <v>14</v>
      </c>
      <c r="BD2" s="1"/>
      <c r="BE2" s="1"/>
      <c r="BF2" s="1"/>
      <c r="BH2" s="27" t="s">
        <v>15</v>
      </c>
      <c r="BI2" s="27" t="s">
        <v>16</v>
      </c>
      <c r="BJ2" s="27" t="s">
        <v>17</v>
      </c>
      <c r="BK2" s="27" t="s">
        <v>18</v>
      </c>
      <c r="BL2" s="27" t="s">
        <v>19</v>
      </c>
      <c r="BM2" s="27"/>
      <c r="BN2" s="27" t="s">
        <v>20</v>
      </c>
      <c r="BO2" s="27" t="s">
        <v>21</v>
      </c>
      <c r="BP2" s="27" t="s">
        <v>16</v>
      </c>
      <c r="BQ2" s="27" t="s">
        <v>21</v>
      </c>
      <c r="BR2" s="27"/>
      <c r="BS2" s="27">
        <v>6</v>
      </c>
      <c r="BT2" s="27"/>
      <c r="BU2" s="27" t="s">
        <v>22</v>
      </c>
      <c r="BV2" s="27" t="s">
        <v>17</v>
      </c>
      <c r="BW2" s="27" t="s">
        <v>23</v>
      </c>
      <c r="BX2" s="27" t="s">
        <v>16</v>
      </c>
      <c r="BY2" s="27" t="s">
        <v>24</v>
      </c>
      <c r="BZ2" s="1"/>
      <c r="CA2" s="1"/>
      <c r="CB2" s="1"/>
      <c r="CC2" s="1"/>
      <c r="CD2" s="1"/>
    </row>
    <row r="3" spans="2:82" ht="19.899999999999999" customHeight="1">
      <c r="B3" s="4" t="str" cm="1">
        <f t="array" aca="1" ref="B3" ca="1">_FV(Table1[[#This Row],[Name]],"Ticker symbol",TRUE)</f>
        <v>COST</v>
      </c>
      <c r="C3" s="4" t="e" vm="1">
        <v>#VALUE!</v>
      </c>
      <c r="D3" s="13" cm="1">
        <f t="array" aca="1" ref="D3" ca="1">_FV(Table1[[#This Row],[Name]],"Price")</f>
        <v>914.94</v>
      </c>
      <c r="E3" s="26"/>
      <c r="F3" s="2" cm="1">
        <f t="array" aca="1" ref="F3" ca="1">_FV(Table1[[#This Row],[Name]],"Change (%)",TRUE)</f>
        <v>5.0529999999999993E-3</v>
      </c>
      <c r="G3" s="3" cm="1">
        <f t="array" aca="1" ref="G3" ca="1">_FV(Table1[[#This Row],[Name]],"Change")</f>
        <v>4.5999999999999996</v>
      </c>
      <c r="H3" s="5" cm="1">
        <f t="array" aca="1" ref="H3" ca="1">_FV(Table1[[#This Row],[Name]],"P/E",TRUE)</f>
        <v>43.8521</v>
      </c>
      <c r="I3" s="6" cm="1">
        <f t="array" aca="1" ref="I3" ca="1">_FV(Table1[[#This Row],[Name]],"Market cap",TRUE)</f>
        <v>405561794040</v>
      </c>
      <c r="J3" s="7" cm="1">
        <f t="array" aca="1" ref="J3" ca="1">_FV(Table1[[#This Row],[Name]],"Volume")</f>
        <v>2126408</v>
      </c>
      <c r="K3" s="5" cm="1">
        <f t="array" aca="1" ref="K3" ca="1">_FV(Table1[[#This Row],[Name]],"Beta")</f>
        <v>0.87749999999999995</v>
      </c>
      <c r="L3" s="7" cm="1">
        <f t="array" aca="1" ref="L3" ca="1">_FV(Table1[[#This Row],[Name]],"Employees")</f>
        <v>341000</v>
      </c>
      <c r="M3" s="12" t="str" cm="1">
        <f t="array" aca="1" ref="M3" ca="1">_FV(Table1[[#This Row],[Name]],"Industry")</f>
        <v>Diversified Retail</v>
      </c>
      <c r="N3" s="13" cm="1">
        <f t="array" aca="1" ref="N3" ca="1">_FV(Table1[[#This Row],[Name]],"High")</f>
        <v>923.5</v>
      </c>
      <c r="O3" s="13" cm="1">
        <f t="array" aca="1" ref="O3" ca="1">_FV(Table1[[#This Row],[Name]],"Low")</f>
        <v>903.77499999999998</v>
      </c>
      <c r="P3" s="7" cm="1">
        <f t="array" aca="1" ref="P3" ca="1">_FV(Table1[[#This Row],[Name]],"Shares outstanding",TRUE)</f>
        <v>443266000</v>
      </c>
      <c r="BD3" s="36" t="e" cm="1" vm="2">
        <f t="array" aca="1" ref="BD3" ca="1">TRANSPOSE(_xlfn.STOCKHISTORY(B3,EDATE(TODAY(),-6),TODAY(),1,0,1))</f>
        <v>#VALUE!</v>
      </c>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8"/>
    </row>
    <row r="4" spans="2:82" ht="19.899999999999999" customHeight="1">
      <c r="B4" s="4" t="str" cm="1">
        <f t="array" aca="1" ref="B4" ca="1">_FV(Table1[[#This Row],[Name]],"Ticker symbol",TRUE)</f>
        <v>MSFT</v>
      </c>
      <c r="C4" s="4" t="e" vm="3">
        <v>#VALUE!</v>
      </c>
      <c r="D4" s="13" cm="1">
        <f t="array" aca="1" ref="D4" ca="1">_FV(Table1[[#This Row],[Name]],"Price")</f>
        <v>512.79999999999995</v>
      </c>
      <c r="E4" s="26"/>
      <c r="F4" s="2" cm="1">
        <f t="array" aca="1" ref="F4" ca="1">_FV(Table1[[#This Row],[Name]],"Change (%)",TRUE)</f>
        <v>-1.95E-4</v>
      </c>
      <c r="G4" s="3" cm="1">
        <f t="array" aca="1" ref="G4" ca="1">_FV(Table1[[#This Row],[Name]],"Change")</f>
        <v>-0.1</v>
      </c>
      <c r="H4" s="5" cm="1">
        <f t="array" aca="1" ref="H4" ca="1">_FV(Table1[[#This Row],[Name]],"P/E",TRUE)</f>
        <v>28.573499999999999</v>
      </c>
      <c r="I4" s="6" cm="1">
        <f t="array" aca="1" ref="I4" ca="1">_FV(Table1[[#This Row],[Name]],"Market cap",TRUE)</f>
        <v>3807819475999</v>
      </c>
      <c r="J4" s="7" cm="1">
        <f t="array" aca="1" ref="J4" ca="1">_FV(Table1[[#This Row],[Name]],"Volume")</f>
        <v>19731882</v>
      </c>
      <c r="K4" s="5" cm="1">
        <f t="array" aca="1" ref="K4" ca="1">_FV(Table1[[#This Row],[Name]],"Beta")</f>
        <v>1.0992</v>
      </c>
      <c r="L4" s="7" cm="1">
        <f t="array" aca="1" ref="L4" ca="1">_FV(Table1[[#This Row],[Name]],"Employees")</f>
        <v>223000</v>
      </c>
      <c r="M4" s="12" t="str" cm="1">
        <f t="array" aca="1" ref="M4" ca="1">_FV(Table1[[#This Row],[Name]],"Industry")</f>
        <v>Software &amp; IT Services</v>
      </c>
      <c r="N4" s="13" cm="1">
        <f t="array" aca="1" ref="N4" ca="1">_FV(Table1[[#This Row],[Name]],"High")</f>
        <v>522.85</v>
      </c>
      <c r="O4" s="13" cm="1">
        <f t="array" aca="1" ref="O4" ca="1">_FV(Table1[[#This Row],[Name]],"Low")</f>
        <v>512.16999999999996</v>
      </c>
      <c r="P4" s="7" cm="1">
        <f t="array" aca="1" ref="P4" ca="1">_FV(Table1[[#This Row],[Name]],"Shares outstanding",TRUE)</f>
        <v>7425545000</v>
      </c>
      <c r="BD4" s="39" t="e" cm="1" vm="2">
        <f t="array" aca="1" ref="BD4" ca="1">TRANSPOSE(_xlfn.STOCKHISTORY(B4,EDATE(TODAY(),-6),TODAY(),1,0,1))</f>
        <v>#VALUE!</v>
      </c>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1"/>
    </row>
    <row r="5" spans="2:82" ht="19.899999999999999" customHeight="1">
      <c r="B5" s="4" t="str" cm="1">
        <f t="array" aca="1" ref="B5" ca="1">_FV(Table1[[#This Row],[Name]],"Ticker symbol",TRUE)</f>
        <v>GOOGL</v>
      </c>
      <c r="C5" s="4" t="e" vm="4">
        <v>#VALUE!</v>
      </c>
      <c r="D5" s="13" cm="1">
        <f t="array" aca="1" ref="D5" ca="1">_FV(Table1[[#This Row],[Name]],"Price")</f>
        <v>338.24</v>
      </c>
      <c r="E5" s="26"/>
      <c r="F5" s="2" cm="1">
        <f t="array" aca="1" ref="F5" ca="1">_FV(Table1[[#This Row],[Name]],"Change (%)",TRUE)</f>
        <v>-1.6973000000000002E-2</v>
      </c>
      <c r="G5" s="3" cm="1">
        <f t="array" aca="1" ref="G5" ca="1">_FV(Table1[[#This Row],[Name]],"Change")</f>
        <v>-5.84</v>
      </c>
      <c r="H5" s="5" cm="1">
        <f t="array" aca="1" ref="H5" ca="1">_FV(Table1[[#This Row],[Name]],"P/E",TRUE)</f>
        <v>16.971399999999999</v>
      </c>
      <c r="I5" s="6" cm="1">
        <f t="array" aca="1" ref="I5" ca="1">_FV(Table1[[#This Row],[Name]],"Market cap",TRUE)</f>
        <v>4136675200000</v>
      </c>
      <c r="J5" s="7" cm="1">
        <f t="array" aca="1" ref="J5" ca="1">_FV(Table1[[#This Row],[Name]],"Volume")</f>
        <v>33269338</v>
      </c>
      <c r="K5" s="5" cm="1">
        <f t="array" aca="1" ref="K5" ca="1">_FV(Table1[[#This Row],[Name]],"Beta")</f>
        <v>1.2114</v>
      </c>
      <c r="L5" s="7" cm="1">
        <f t="array" aca="1" ref="L5" ca="1">_FV(Table1[[#This Row],[Name]],"Employees")</f>
        <v>198933</v>
      </c>
      <c r="M5" s="12" t="str" cm="1">
        <f t="array" aca="1" ref="M5" ca="1">_FV(Table1[[#This Row],[Name]],"Industry")</f>
        <v>Software &amp; IT Services</v>
      </c>
      <c r="N5" s="13" cm="1">
        <f t="array" aca="1" ref="N5" ca="1">_FV(Table1[[#This Row],[Name]],"High")</f>
        <v>353.22</v>
      </c>
      <c r="O5" s="13" cm="1">
        <f t="array" aca="1" ref="O5" ca="1">_FV(Table1[[#This Row],[Name]],"Low")</f>
        <v>335.51080000000002</v>
      </c>
      <c r="P5" s="7" cm="1">
        <f t="array" aca="1" ref="P5" ca="1">_FV(Table1[[#This Row],[Name]],"Shares outstanding",TRUE)</f>
        <v>12230000000</v>
      </c>
      <c r="BD5" s="39" t="e" cm="1" vm="2">
        <f t="array" aca="1" ref="BD5" ca="1">TRANSPOSE(_xlfn.STOCKHISTORY(B5,EDATE(TODAY(),-6),TODAY(),1,0,1))</f>
        <v>#VALUE!</v>
      </c>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1"/>
    </row>
    <row r="6" spans="2:82" ht="19.899999999999999" customHeight="1">
      <c r="B6" s="4" t="str" cm="1">
        <f t="array" aca="1" ref="B6" ca="1">_FV(Table1[[#This Row],[Name]],"Ticker symbol",TRUE)</f>
        <v>V</v>
      </c>
      <c r="C6" s="4" t="e" vm="5">
        <v>#VALUE!</v>
      </c>
      <c r="D6" s="13" cm="1">
        <f t="array" aca="1" ref="D6" ca="1">_FV(Table1[[#This Row],[Name]],"Price")</f>
        <v>359.85</v>
      </c>
      <c r="E6" s="26"/>
      <c r="F6" s="2" cm="1">
        <f t="array" aca="1" ref="F6" ca="1">_FV(Table1[[#This Row],[Name]],"Change (%)",TRUE)</f>
        <v>1.4469999999999999E-3</v>
      </c>
      <c r="G6" s="3" cm="1">
        <f t="array" aca="1" ref="G6" ca="1">_FV(Table1[[#This Row],[Name]],"Change")</f>
        <v>0.52</v>
      </c>
      <c r="H6" s="5" cm="1">
        <f t="array" aca="1" ref="H6" ca="1">_FV(Table1[[#This Row],[Name]],"P/E",TRUE)</f>
        <v>30.598700000000001</v>
      </c>
      <c r="I6" s="6" cm="1">
        <f t="array" aca="1" ref="I6" ca="1">_FV(Table1[[#This Row],[Name]],"Market cap",TRUE)</f>
        <v>671856862950</v>
      </c>
      <c r="J6" s="7" cm="1">
        <f t="array" aca="1" ref="J6" ca="1">_FV(Table1[[#This Row],[Name]],"Volume")</f>
        <v>5273106</v>
      </c>
      <c r="K6" s="5" cm="1">
        <f t="array" aca="1" ref="K6" ca="1">_FV(Table1[[#This Row],[Name]],"Beta")</f>
        <v>0.77039999999999997</v>
      </c>
      <c r="L6" s="7" cm="1">
        <f t="array" aca="1" ref="L6" ca="1">_FV(Table1[[#This Row],[Name]],"Employees")</f>
        <v>34100</v>
      </c>
      <c r="M6" s="12" t="str" cm="1">
        <f t="array" aca="1" ref="M6" ca="1">_FV(Table1[[#This Row],[Name]],"Industry")</f>
        <v>Professional &amp; Commercial Services</v>
      </c>
      <c r="N6" s="13" cm="1">
        <f t="array" aca="1" ref="N6" ca="1">_FV(Table1[[#This Row],[Name]],"High")</f>
        <v>363.23899999999998</v>
      </c>
      <c r="O6" s="13" cm="1">
        <f t="array" aca="1" ref="O6" ca="1">_FV(Table1[[#This Row],[Name]],"Low")</f>
        <v>357.35500000000002</v>
      </c>
      <c r="P6" s="7" cm="1">
        <f t="array" aca="1" ref="P6" ca="1">_FV(Table1[[#This Row],[Name]],"Shares outstanding",TRUE)</f>
        <v>1867047000</v>
      </c>
      <c r="BD6" s="39" t="e" cm="1" vm="2">
        <f t="array" aca="1" ref="BD6" ca="1">TRANSPOSE(_xlfn.STOCKHISTORY(B6,EDATE(TODAY(),-6),TODAY(),1,0,1))</f>
        <v>#VALUE!</v>
      </c>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1"/>
    </row>
    <row r="7" spans="2:82" ht="19.899999999999999" customHeight="1">
      <c r="B7" s="4" t="str" cm="1">
        <f t="array" aca="1" ref="B7" ca="1">_FV(Table1[[#This Row],[Name]],"Ticker symbol",TRUE)</f>
        <v>AAPL</v>
      </c>
      <c r="C7" s="4" t="e" vm="6">
        <v>#VALUE!</v>
      </c>
      <c r="D7" s="13" cm="1">
        <f t="array" aca="1" ref="D7" ca="1">_FV(Table1[[#This Row],[Name]],"Price")</f>
        <v>330.32</v>
      </c>
      <c r="E7" s="26"/>
      <c r="F7" s="2" cm="1">
        <f t="array" aca="1" ref="F7" ca="1">_FV(Table1[[#This Row],[Name]],"Change (%)",TRUE)</f>
        <v>-8.1079999999999989E-3</v>
      </c>
      <c r="G7" s="3" cm="1">
        <f t="array" aca="1" ref="G7" ca="1">_FV(Table1[[#This Row],[Name]],"Change")</f>
        <v>-2.7</v>
      </c>
      <c r="H7" s="5" cm="1">
        <f t="array" aca="1" ref="H7" ca="1">_FV(Table1[[#This Row],[Name]],"P/E",TRUE)</f>
        <v>38.008899999999997</v>
      </c>
      <c r="I7" s="6" cm="1">
        <f t="array" aca="1" ref="I7" ca="1">_FV(Table1[[#This Row],[Name]],"Market cap",TRUE)</f>
        <v>4820749537600</v>
      </c>
      <c r="J7" s="7" cm="1">
        <f t="array" aca="1" ref="J7" ca="1">_FV(Table1[[#This Row],[Name]],"Volume")</f>
        <v>36306346</v>
      </c>
      <c r="K7" s="5" cm="1">
        <f t="array" aca="1" ref="K7" ca="1">_FV(Table1[[#This Row],[Name]],"Beta")</f>
        <v>1.069</v>
      </c>
      <c r="L7" s="7" cm="1">
        <f t="array" aca="1" ref="L7" ca="1">_FV(Table1[[#This Row],[Name]],"Employees")</f>
        <v>166000</v>
      </c>
      <c r="M7" s="12" t="str" cm="1">
        <f t="array" aca="1" ref="M7" ca="1">_FV(Table1[[#This Row],[Name]],"Industry")</f>
        <v>Computers, Phones &amp; Household Electronics</v>
      </c>
      <c r="N7" s="13" cm="1">
        <f t="array" aca="1" ref="N7" ca="1">_FV(Table1[[#This Row],[Name]],"High")</f>
        <v>332.48160000000001</v>
      </c>
      <c r="O7" s="13" cm="1">
        <f t="array" aca="1" ref="O7" ca="1">_FV(Table1[[#This Row],[Name]],"Low")</f>
        <v>325.81</v>
      </c>
      <c r="P7" s="7" cm="1">
        <f t="array" aca="1" ref="P7" ca="1">_FV(Table1[[#This Row],[Name]],"Shares outstanding",TRUE)</f>
        <v>14594180000</v>
      </c>
      <c r="BD7" s="39" t="e" cm="1" vm="2">
        <f t="array" aca="1" ref="BD7" ca="1">TRANSPOSE(_xlfn.STOCKHISTORY(B7,EDATE(TODAY(),-6),TODAY(),1,0,1))</f>
        <v>#VALUE!</v>
      </c>
      <c r="BE7" s="40"/>
      <c r="BF7" s="40"/>
      <c r="BG7" s="40"/>
      <c r="BH7" s="40"/>
      <c r="BI7" s="40"/>
      <c r="BJ7" s="40"/>
      <c r="BK7" s="40"/>
      <c r="BL7" s="40"/>
      <c r="BM7" s="40"/>
      <c r="BN7" s="40"/>
      <c r="BO7" s="40"/>
      <c r="BP7" s="40"/>
      <c r="BQ7" s="40"/>
      <c r="BR7" s="40"/>
      <c r="BS7" s="40"/>
      <c r="BT7" s="40"/>
      <c r="BU7" s="40"/>
      <c r="BV7" s="40"/>
      <c r="BW7" s="40"/>
      <c r="BX7" s="40"/>
      <c r="BY7" s="40"/>
      <c r="BZ7" s="40"/>
      <c r="CA7" s="40"/>
      <c r="CB7" s="40"/>
      <c r="CC7" s="40"/>
      <c r="CD7" s="41"/>
    </row>
    <row r="8" spans="2:82" ht="19.899999999999999" customHeight="1">
      <c r="B8" s="4" t="str" cm="1">
        <f t="array" aca="1" ref="B8" ca="1">_FV(Table1[[#This Row],[Name]],"Ticker symbol",TRUE)</f>
        <v>JNJ</v>
      </c>
      <c r="C8" s="4" t="e" vm="7">
        <v>#VALUE!</v>
      </c>
      <c r="D8" s="13" cm="1">
        <f t="array" aca="1" ref="D8" ca="1">_FV(Table1[[#This Row],[Name]],"Price")</f>
        <v>258.66000000000003</v>
      </c>
      <c r="E8" s="26"/>
      <c r="F8" s="2" cm="1">
        <f t="array" aca="1" ref="F8" ca="1">_FV(Table1[[#This Row],[Name]],"Change (%)",TRUE)</f>
        <v>-2.2966E-2</v>
      </c>
      <c r="G8" s="3" cm="1">
        <f t="array" aca="1" ref="G8" ca="1">_FV(Table1[[#This Row],[Name]],"Change")</f>
        <v>-6.08</v>
      </c>
      <c r="H8" s="5" cm="1">
        <f t="array" aca="1" ref="H8" ca="1">_FV(Table1[[#This Row],[Name]],"P/E",TRUE)</f>
        <v>29.9923</v>
      </c>
      <c r="I8" s="6" cm="1">
        <f t="array" aca="1" ref="I8" ca="1">_FV(Table1[[#This Row],[Name]],"Market cap",TRUE)</f>
        <v>623344475340</v>
      </c>
      <c r="J8" s="7" cm="1">
        <f t="array" aca="1" ref="J8" ca="1">_FV(Table1[[#This Row],[Name]],"Volume")</f>
        <v>8292415</v>
      </c>
      <c r="K8" s="5" cm="1">
        <f t="array" aca="1" ref="K8" ca="1">_FV(Table1[[#This Row],[Name]],"Beta")</f>
        <v>0.20599999999999999</v>
      </c>
      <c r="L8" s="7" cm="1">
        <f t="array" aca="1" ref="L8" ca="1">_FV(Table1[[#This Row],[Name]],"Employees")</f>
        <v>138200</v>
      </c>
      <c r="M8" s="12" t="str" cm="1">
        <f t="array" aca="1" ref="M8" ca="1">_FV(Table1[[#This Row],[Name]],"Industry")</f>
        <v>Pharmaceuticals</v>
      </c>
      <c r="N8" s="13" cm="1">
        <f t="array" aca="1" ref="N8" ca="1">_FV(Table1[[#This Row],[Name]],"High")</f>
        <v>263.97500000000002</v>
      </c>
      <c r="O8" s="13" cm="1">
        <f t="array" aca="1" ref="O8" ca="1">_FV(Table1[[#This Row],[Name]],"Low")</f>
        <v>258.33</v>
      </c>
      <c r="P8" s="7" cm="1">
        <f t="array" aca="1" ref="P8" ca="1">_FV(Table1[[#This Row],[Name]],"Shares outstanding",TRUE)</f>
        <v>2409899000</v>
      </c>
      <c r="BD8" s="39" t="e" cm="1" vm="2">
        <f t="array" aca="1" ref="BD8" ca="1">TRANSPOSE(_xlfn.STOCKHISTORY(B8,EDATE(TODAY(),-6),TODAY(),1,0,1))</f>
        <v>#VALUE!</v>
      </c>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1"/>
    </row>
    <row r="9" spans="2:82" ht="19.899999999999999" customHeight="1">
      <c r="B9" s="4" t="str" cm="1">
        <f t="array" aca="1" ref="B9" ca="1">_FV(Table1[[#This Row],[Name]],"Ticker symbol",TRUE)</f>
        <v>NVDA</v>
      </c>
      <c r="C9" s="4" t="e" vm="8">
        <v>#VALUE!</v>
      </c>
      <c r="D9" s="13" cm="1">
        <f t="array" aca="1" ref="D9" ca="1">_FV(Table1[[#This Row],[Name]],"Price")</f>
        <v>230.86</v>
      </c>
      <c r="E9" s="26"/>
      <c r="F9" s="2" cm="1">
        <f t="array" aca="1" ref="F9" ca="1">_FV(Table1[[#This Row],[Name]],"Change (%)",TRUE)</f>
        <v>1.0859000000000001E-2</v>
      </c>
      <c r="G9" s="3" cm="1">
        <f t="array" aca="1" ref="G9" ca="1">_FV(Table1[[#This Row],[Name]],"Change")</f>
        <v>2.48</v>
      </c>
      <c r="H9" s="5" cm="1">
        <f t="array" aca="1" ref="H9" ca="1">_FV(Table1[[#This Row],[Name]],"P/E",TRUE)</f>
        <v>29.183299999999999</v>
      </c>
      <c r="I9" s="6" cm="1">
        <f t="array" aca="1" ref="I9" ca="1">_FV(Table1[[#This Row],[Name]],"Market cap",TRUE)</f>
        <v>5563726000000</v>
      </c>
      <c r="J9" s="7" cm="1">
        <f t="array" aca="1" ref="J9" ca="1">_FV(Table1[[#This Row],[Name]],"Volume")</f>
        <v>98591411</v>
      </c>
      <c r="K9" s="5" cm="1">
        <f t="array" aca="1" ref="K9" ca="1">_FV(Table1[[#This Row],[Name]],"Beta")</f>
        <v>2.2162000000000002</v>
      </c>
      <c r="L9" s="7" cm="1">
        <f t="array" aca="1" ref="L9" ca="1">_FV(Table1[[#This Row],[Name]],"Employees")</f>
        <v>42000</v>
      </c>
      <c r="M9" s="12" t="str" cm="1">
        <f t="array" aca="1" ref="M9" ca="1">_FV(Table1[[#This Row],[Name]],"Industry")</f>
        <v>Semiconductors &amp; Semiconductor Equipment</v>
      </c>
      <c r="N9" s="13" cm="1">
        <f t="array" aca="1" ref="N9" ca="1">_FV(Table1[[#This Row],[Name]],"High")</f>
        <v>232.285</v>
      </c>
      <c r="O9" s="13" cm="1">
        <f t="array" aca="1" ref="O9" ca="1">_FV(Table1[[#This Row],[Name]],"Low")</f>
        <v>228.16</v>
      </c>
      <c r="P9" s="7" cm="1">
        <f t="array" aca="1" ref="P9" ca="1">_FV(Table1[[#This Row],[Name]],"Shares outstanding",TRUE)</f>
        <v>24100000000</v>
      </c>
      <c r="BD9" s="39" t="e" cm="1" vm="2">
        <f t="array" aca="1" ref="BD9" ca="1">TRANSPOSE(_xlfn.STOCKHISTORY(B9,EDATE(TODAY(),-6),TODAY(),1,0,1))</f>
        <v>#VALUE!</v>
      </c>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1"/>
    </row>
    <row r="10" spans="2:82" ht="19.899999999999999" customHeight="1">
      <c r="B10" s="28" t="str" cm="1">
        <f t="array" aca="1" ref="B10" ca="1">_FV(Table1[[#This Row],[Name]],"Ticker symbol",TRUE)</f>
        <v>XOM</v>
      </c>
      <c r="C10" s="28" t="e" vm="9">
        <v>#VALUE!</v>
      </c>
      <c r="D10" s="29" cm="1">
        <f t="array" aca="1" ref="D10" ca="1">_FV(Table1[[#This Row],[Name]],"Price")</f>
        <v>163.82</v>
      </c>
      <c r="E10" s="45"/>
      <c r="F10" s="30" cm="1">
        <f t="array" aca="1" ref="F10" ca="1">_FV(Table1[[#This Row],[Name]],"Change (%)",TRUE)</f>
        <v>6.5750000000000001E-3</v>
      </c>
      <c r="G10" s="31" cm="1">
        <f t="array" aca="1" ref="G10" ca="1">_FV(Table1[[#This Row],[Name]],"Change")</f>
        <v>1.07</v>
      </c>
      <c r="H10" s="32" cm="1">
        <f t="array" aca="1" ref="H10" ca="1">_FV(Table1[[#This Row],[Name]],"P/E",TRUE)</f>
        <v>21.126100000000001</v>
      </c>
      <c r="I10" s="33" cm="1">
        <f t="array" aca="1" ref="I10" ca="1">_FV(Table1[[#This Row],[Name]],"Market cap",TRUE)</f>
        <v>673613423840</v>
      </c>
      <c r="J10" s="34" cm="1">
        <f t="array" aca="1" ref="J10" ca="1">_FV(Table1[[#This Row],[Name]],"Volume")</f>
        <v>11708604</v>
      </c>
      <c r="K10" s="32" cm="1">
        <f t="array" aca="1" ref="K10" ca="1">_FV(Table1[[#This Row],[Name]],"Beta")</f>
        <v>0.2089</v>
      </c>
      <c r="L10" s="34" cm="1">
        <f t="array" aca="1" ref="L10" ca="1">_FV(Table1[[#This Row],[Name]],"Employees")</f>
        <v>58000</v>
      </c>
      <c r="M10" s="35" t="str" cm="1">
        <f t="array" aca="1" ref="M10" ca="1">_FV(Table1[[#This Row],[Name]],"Industry")</f>
        <v>Oil &amp; Gas</v>
      </c>
      <c r="N10" s="29" cm="1">
        <f t="array" aca="1" ref="N10" ca="1">_FV(Table1[[#This Row],[Name]],"High")</f>
        <v>164.07499999999999</v>
      </c>
      <c r="O10" s="29" cm="1">
        <f t="array" aca="1" ref="O10" ca="1">_FV(Table1[[#This Row],[Name]],"Low")</f>
        <v>160.80529999999999</v>
      </c>
      <c r="P10" s="34" cm="1">
        <f t="array" aca="1" ref="P10" ca="1">_FV(Table1[[#This Row],[Name]],"Shares outstanding",TRUE)</f>
        <v>4111912000</v>
      </c>
      <c r="BD10" s="42" t="e" cm="1" vm="2">
        <f t="array" aca="1" ref="BD10" ca="1">TRANSPOSE(_xlfn.STOCKHISTORY(B10,EDATE(TODAY(),-6),TODAY(),1,0,1))</f>
        <v>#VALUE!</v>
      </c>
      <c r="BE10" s="43"/>
      <c r="BF10" s="43"/>
      <c r="BG10" s="43"/>
      <c r="BH10" s="43"/>
      <c r="BI10" s="43"/>
      <c r="BJ10" s="43"/>
      <c r="BK10" s="43"/>
      <c r="BL10" s="43"/>
      <c r="BM10" s="43"/>
      <c r="BN10" s="43"/>
      <c r="BO10" s="43"/>
      <c r="BP10" s="43"/>
      <c r="BQ10" s="43"/>
      <c r="BR10" s="43"/>
      <c r="BS10" s="43"/>
      <c r="BT10" s="43"/>
      <c r="BU10" s="43"/>
      <c r="BV10" s="43"/>
      <c r="BW10" s="43"/>
      <c r="BX10" s="43"/>
      <c r="BY10" s="43"/>
      <c r="BZ10" s="43"/>
      <c r="CA10" s="43"/>
      <c r="CB10" s="43"/>
      <c r="CC10" s="43"/>
      <c r="CD10" s="44"/>
    </row>
    <row r="11" spans="2:82" ht="19.899999999999999" customHeight="1">
      <c r="E11" s="46"/>
    </row>
    <row r="12" spans="2:82" ht="19.899999999999999" customHeight="1">
      <c r="E12" s="46"/>
    </row>
    <row r="13" spans="2:82" ht="19.899999999999999" customHeight="1">
      <c r="D13" s="14" t="s">
        <v>25</v>
      </c>
      <c r="E13" s="16" t="s">
        <v>2</v>
      </c>
      <c r="F13" s="17" t="s">
        <v>4</v>
      </c>
      <c r="G13" s="17" t="s">
        <v>26</v>
      </c>
      <c r="H13" s="17" t="s">
        <v>6</v>
      </c>
      <c r="I13" s="17" t="s">
        <v>27</v>
      </c>
      <c r="J13" s="17" t="s">
        <v>8</v>
      </c>
      <c r="K13" s="17" t="s">
        <v>9</v>
      </c>
      <c r="L13" s="18" t="s">
        <v>10</v>
      </c>
    </row>
    <row r="14" spans="2:82" ht="19.899999999999999" customHeight="1">
      <c r="D14" s="15" t="s">
        <v>28</v>
      </c>
      <c r="E14" s="19">
        <f ca="1">VLOOKUP($D$14,Table1[[Ticker symbol]:[Employees]],3,FALSE)</f>
        <v>914.94</v>
      </c>
      <c r="F14" s="20">
        <f ca="1">VLOOKUP(D14,Table1[[Ticker symbol]:[Employees]],5,FALSE)</f>
        <v>5.0529999999999993E-3</v>
      </c>
      <c r="G14" s="21">
        <f ca="1">VLOOKUP(D14,Table1[[Ticker symbol]:[Employees]],6,FALSE)</f>
        <v>4.5999999999999996</v>
      </c>
      <c r="H14" s="22">
        <f ca="1">VLOOKUP($D$14,Table1[[Ticker symbol]:[Employees]],7,FALSE)</f>
        <v>43.8521</v>
      </c>
      <c r="I14" s="23">
        <f ca="1">VLOOKUP($D$14,Table1[[Ticker symbol]:[Employees]],8,FALSE)</f>
        <v>405561794040</v>
      </c>
      <c r="J14" s="24">
        <f ca="1">VLOOKUP($D$14,Table1[[Ticker symbol]:[Employees]],9,FALSE)</f>
        <v>2126408</v>
      </c>
      <c r="K14" s="22">
        <f ca="1">VLOOKUP($D$14,Table1[[Ticker symbol]:[Employees]],10,FALSE)</f>
        <v>0.87749999999999995</v>
      </c>
      <c r="L14" s="25">
        <f ca="1">VLOOKUP($D$14,Table1[[Ticker symbol]:[Employees]],11,FALSE)</f>
        <v>341000</v>
      </c>
    </row>
    <row r="15" spans="2:82" ht="19.899999999999999" customHeight="1"/>
    <row r="16" spans="2:82" ht="19.899999999999999" customHeight="1"/>
    <row r="17" ht="19.899999999999999" customHeight="1"/>
    <row r="18" ht="19.899999999999999" customHeight="1"/>
    <row r="19" ht="19.899999999999999" customHeight="1"/>
    <row r="20" ht="19.899999999999999" customHeight="1"/>
    <row r="21" ht="19.899999999999999" customHeight="1"/>
    <row r="22" ht="19.899999999999999" customHeight="1"/>
    <row r="23" ht="19.899999999999999" customHeight="1"/>
    <row r="24" ht="19.899999999999999" customHeight="1"/>
    <row r="25" ht="19.899999999999999" customHeight="1"/>
  </sheetData>
  <phoneticPr fontId="4" type="noConversion"/>
  <conditionalFormatting sqref="D3:D10">
    <cfRule type="colorScale" priority="3">
      <colorScale>
        <cfvo type="min"/>
        <cfvo type="percentile" val="50"/>
        <cfvo type="max"/>
        <color rgb="FFF8696B"/>
        <color rgb="FFFFEB84"/>
        <color rgb="FF63BE7B"/>
      </colorScale>
    </cfRule>
  </conditionalFormatting>
  <conditionalFormatting sqref="F3:G10">
    <cfRule type="cellIs" dxfId="36" priority="14" operator="greaterThan">
      <formula>0</formula>
    </cfRule>
    <cfRule type="cellIs" dxfId="35" priority="15" operator="equal">
      <formula>0</formula>
    </cfRule>
    <cfRule type="cellIs" dxfId="34" priority="16" operator="lessThan">
      <formula>0</formula>
    </cfRule>
  </conditionalFormatting>
  <conditionalFormatting sqref="H3:H10">
    <cfRule type="colorScale" priority="11">
      <colorScale>
        <cfvo type="min"/>
        <cfvo type="percentile" val="50"/>
        <cfvo type="max"/>
        <color rgb="FFF8696B"/>
        <color rgb="FFFFEB84"/>
        <color rgb="FF63BE7B"/>
      </colorScale>
    </cfRule>
  </conditionalFormatting>
  <conditionalFormatting sqref="H3:L10">
    <cfRule type="colorScale" priority="12">
      <colorScale>
        <cfvo type="min"/>
        <cfvo type="percentile" val="50"/>
        <cfvo type="max"/>
        <color rgb="FFF8696B"/>
        <color rgb="FFFFEB84"/>
        <color rgb="FF63BE7B"/>
      </colorScale>
    </cfRule>
  </conditionalFormatting>
  <conditionalFormatting sqref="I3:I10">
    <cfRule type="colorScale" priority="10">
      <colorScale>
        <cfvo type="min"/>
        <cfvo type="percentile" val="50"/>
        <cfvo type="max"/>
        <color rgb="FFF8696B"/>
        <color rgb="FFFFEB84"/>
        <color rgb="FF63BE7B"/>
      </colorScale>
    </cfRule>
  </conditionalFormatting>
  <conditionalFormatting sqref="J3:J10">
    <cfRule type="colorScale" priority="9">
      <colorScale>
        <cfvo type="min"/>
        <cfvo type="percentile" val="50"/>
        <cfvo type="max"/>
        <color rgb="FFF8696B"/>
        <color rgb="FFFFEB84"/>
        <color rgb="FF63BE7B"/>
      </colorScale>
    </cfRule>
  </conditionalFormatting>
  <conditionalFormatting sqref="K3:K10">
    <cfRule type="colorScale" priority="1">
      <colorScale>
        <cfvo type="min"/>
        <cfvo type="percentile" val="50"/>
        <cfvo type="max"/>
        <color rgb="FF63BE7B"/>
        <color rgb="FFFFEB84"/>
        <color rgb="FFF8696B"/>
      </colorScale>
    </cfRule>
  </conditionalFormatting>
  <conditionalFormatting sqref="L3:L10">
    <cfRule type="colorScale" priority="7">
      <colorScale>
        <cfvo type="min"/>
        <cfvo type="percentile" val="50"/>
        <cfvo type="max"/>
        <color rgb="FFF8696B"/>
        <color rgb="FFFFEB84"/>
        <color rgb="FF63BE7B"/>
      </colorScale>
    </cfRule>
  </conditionalFormatting>
  <conditionalFormatting sqref="N3:N10">
    <cfRule type="colorScale" priority="6">
      <colorScale>
        <cfvo type="min"/>
        <cfvo type="percentile" val="50"/>
        <cfvo type="max"/>
        <color rgb="FFF8696B"/>
        <color rgb="FFFFEB84"/>
        <color rgb="FF63BE7B"/>
      </colorScale>
    </cfRule>
  </conditionalFormatting>
  <conditionalFormatting sqref="N3:P10">
    <cfRule type="colorScale" priority="13">
      <colorScale>
        <cfvo type="min"/>
        <cfvo type="percentile" val="50"/>
        <cfvo type="max"/>
        <color rgb="FFF8696B"/>
        <color rgb="FFFFEB84"/>
        <color rgb="FF63BE7B"/>
      </colorScale>
    </cfRule>
  </conditionalFormatting>
  <conditionalFormatting sqref="O3:O10">
    <cfRule type="colorScale" priority="5">
      <colorScale>
        <cfvo type="min"/>
        <cfvo type="percentile" val="50"/>
        <cfvo type="max"/>
        <color rgb="FFF8696B"/>
        <color rgb="FFFFEB84"/>
        <color rgb="FF63BE7B"/>
      </colorScale>
    </cfRule>
  </conditionalFormatting>
  <conditionalFormatting sqref="P3:P10">
    <cfRule type="colorScale" priority="4">
      <colorScale>
        <cfvo type="min"/>
        <cfvo type="percentile" val="50"/>
        <cfvo type="max"/>
        <color rgb="FFF8696B"/>
        <color rgb="FFFFEB84"/>
        <color rgb="FF63BE7B"/>
      </colorScale>
    </cfRule>
  </conditionalFormatting>
  <pageMargins left="0.7" right="0.7" top="0.75" bottom="0.75" header="0.3" footer="0.3"/>
  <pageSetup orientation="portrait" r:id="rId1"/>
  <tableParts count="2">
    <tablePart r:id="rId2"/>
    <tablePart r:id="rId3"/>
  </tableParts>
  <extLst>
    <ext xmlns:x14="http://schemas.microsoft.com/office/spreadsheetml/2009/9/main" uri="{05C60535-1F16-4fd2-B633-F4F36F0B64E0}">
      <x14:sparklineGroups xmlns:xm="http://schemas.microsoft.com/office/excel/2006/main">
        <x14:sparklineGroup displayEmptyCellsAs="gap" high="1" low="1" xr2:uid="{6EBE6E74-ECFE-4A62-9C92-F3C0A6D9533F}">
          <x14:colorSeries theme="0"/>
          <x14:colorNegative rgb="FFFFC7CE"/>
          <x14:colorAxis rgb="FF000000"/>
          <x14:colorMarkers rgb="FF8CADD6"/>
          <x14:colorFirst rgb="FFFFDC47"/>
          <x14:colorLast rgb="FFFFEB9C"/>
          <x14:colorHigh rgb="FF66FF66"/>
          <x14:colorLow rgb="FFFF0000"/>
          <x14:sparklines>
            <x14:sparkline>
              <xm:f>Sheet1!BD3:CD3</xm:f>
              <xm:sqref>E3</xm:sqref>
            </x14:sparkline>
            <x14:sparkline>
              <xm:f>Sheet1!BD4:CD4</xm:f>
              <xm:sqref>E4</xm:sqref>
            </x14:sparkline>
            <x14:sparkline>
              <xm:f>Sheet1!BD5:CD5</xm:f>
              <xm:sqref>E5</xm:sqref>
            </x14:sparkline>
            <x14:sparkline>
              <xm:f>Sheet1!BD6:CD6</xm:f>
              <xm:sqref>E6</xm:sqref>
            </x14:sparkline>
            <x14:sparkline>
              <xm:f>Sheet1!BD7:CD7</xm:f>
              <xm:sqref>E7</xm:sqref>
            </x14:sparkline>
            <x14:sparkline>
              <xm:f>Sheet1!BD8:CD8</xm:f>
              <xm:sqref>E8</xm:sqref>
            </x14:sparkline>
            <x14:sparkline>
              <xm:f>Sheet1!BD9:CD9</xm:f>
              <xm:sqref>E9</xm:sqref>
            </x14:sparkline>
            <x14:sparkline>
              <xm:f>Sheet1!BD10:CD10</xm:f>
              <xm:sqref>E10</xm:sqref>
            </x14:sparkline>
          </x14:sparklines>
        </x14:sparklineGroup>
      </x14:sparklineGroups>
    </ext>
    <ext xmlns:x15="http://schemas.microsoft.com/office/spreadsheetml/2010/11/main" uri="{F7C9EE02-42E1-4005-9D12-6889AFFD525C}">
      <x15:webExtensions xmlns:xm="http://schemas.microsoft.com/office/excel/2006/main">
        <x15:webExtension appRef="{FFBD15DC-40AD-4C31-8DAC-7F8A21FC49F8}">
          <xm:f>Sheet1!#REF!</xm:f>
        </x15:webExtension>
      </x15:webExtens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Christian Pothier</dc:creator>
  <cp:keywords/>
  <dc:description/>
  <cp:lastModifiedBy/>
  <cp:revision/>
  <dcterms:created xsi:type="dcterms:W3CDTF">2026-04-01T12:40:06Z</dcterms:created>
  <dcterms:modified xsi:type="dcterms:W3CDTF">2026-10-02T03:57:22Z</dcterms:modified>
  <cp:category/>
  <cp:contentStatus/>
</cp:coreProperties>
</file>